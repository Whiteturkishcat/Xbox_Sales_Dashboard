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\Documents\"/>
    </mc:Choice>
  </mc:AlternateContent>
  <xr:revisionPtr revIDLastSave="0" documentId="8_{E7163191-16CE-4F35-A711-6E8D3D8AFE7E}" xr6:coauthVersionLast="47" xr6:coauthVersionMax="47" xr10:uidLastSave="{00000000-0000-0000-0000-000000000000}"/>
  <bookViews>
    <workbookView xWindow="-120" yWindow="-120" windowWidth="20730" windowHeight="11040" firstSheet="3" activeTab="3" xr2:uid="{E4A649BD-B644-42EB-AEEB-2A41FDB08971}"/>
  </bookViews>
  <sheets>
    <sheet name="Assets" sheetId="1" state="hidden" r:id="rId1"/>
    <sheet name="Base" sheetId="2" state="hidden" r:id="rId2"/>
    <sheet name="Calculos" sheetId="3" state="hidden" r:id="rId3"/>
    <sheet name="Dashboard" sheetId="4" r:id="rId4"/>
  </sheets>
  <definedNames>
    <definedName name="_xlnm._FilterDatabase" localSheetId="1" hidden="1">Base!$A$1:$N$99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5" i="3" l="1"/>
  <c r="S10" i="4" s="1"/>
  <c r="C54" i="3"/>
  <c r="S9" i="4" s="1"/>
  <c r="C53" i="3"/>
  <c r="R10" i="4"/>
  <c r="R9" i="4"/>
  <c r="R8" i="4"/>
  <c r="S12" i="4"/>
  <c r="E43" i="3"/>
  <c r="E41" i="3"/>
  <c r="L9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2" i="2"/>
  <c r="L93" i="2"/>
  <c r="L94" i="2"/>
  <c r="L95" i="2"/>
  <c r="L96" i="2"/>
  <c r="L97" i="2"/>
  <c r="L98" i="2"/>
  <c r="L99" i="2"/>
  <c r="L2" i="2"/>
  <c r="E32" i="3"/>
  <c r="E21" i="3"/>
  <c r="S8" i="4" l="1"/>
  <c r="C56" i="3"/>
</calcChain>
</file>

<file path=xl/sharedStrings.xml><?xml version="1.0" encoding="utf-8"?>
<sst xmlns="http://schemas.openxmlformats.org/spreadsheetml/2006/main" count="659" uniqueCount="150">
  <si>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</si>
  <si>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</si>
  <si>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</si>
  <si>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</si>
  <si>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</si>
  <si>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</si>
  <si>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</si>
  <si>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</si>
  <si>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</si>
  <si>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</si>
  <si>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</si>
  <si>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</si>
  <si>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</si>
  <si>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</si>
  <si>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</si>
  <si>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</si>
  <si>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</si>
  <si>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Ana Souza</t>
  </si>
  <si>
    <t>No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</si>
  <si>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</si>
  <si>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</si>
  <si>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</si>
  <si>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</si>
  <si>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</si>
  <si>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</si>
  <si>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</si>
  <si>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</si>
  <si>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</si>
  <si>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</si>
  <si>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</si>
  <si>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</si>
  <si>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</si>
  <si>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</si>
  <si>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</si>
  <si>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</si>
  <si>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</si>
  <si>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</si>
  <si>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</si>
  <si>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</si>
  <si>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</si>
  <si>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</si>
  <si>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</si>
  <si>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</si>
  <si>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</si>
  <si>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</si>
  <si>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</si>
  <si>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</si>
  <si>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</si>
  <si>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</si>
  <si>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</si>
  <si>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</si>
  <si>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</si>
  <si>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</si>
  <si>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</si>
  <si>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</si>
  <si>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</si>
  <si>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</si>
  <si>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</si>
  <si>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</si>
  <si>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</si>
  <si>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</si>
  <si>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</si>
  <si>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</si>
  <si>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</si>
  <si>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</si>
  <si>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</si>
  <si>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</si>
  <si>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</si>
  <si>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</si>
  <si>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</si>
  <si>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</si>
  <si>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</si>
  <si>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</si>
  <si>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</si>
  <si>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</si>
  <si>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</si>
  <si>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</si>
  <si>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</si>
  <si>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</si>
  <si>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</si>
  <si>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</si>
  <si>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</si>
  <si>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</si>
  <si>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</si>
  <si>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</si>
  <si>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</si>
  <si>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</si>
  <si>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</si>
  <si>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</si>
  <si>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</si>
  <si>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</si>
  <si>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</si>
  <si>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</si>
  <si>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</si>
  <si>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</si>
  <si>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</si>
  <si>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</si>
  <si>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</si>
  <si>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</si>
  <si>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</si>
  <si>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</si>
  <si>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</si>
  <si>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</si>
  <si>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</si>
  <si>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</si>
  <si>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</si>
  <si>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</si>
  <si>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</si>
  <si>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</si>
  <si>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</si>
  <si>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</si>
  <si>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</si>
  <si>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</si>
  <si>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</si>
  <si>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Menus</t>
  </si>
  <si>
    <t>Logos</t>
  </si>
  <si>
    <t>Ícones</t>
  </si>
  <si>
    <r>
      <t xml:space="preserve">Pergunta de Negócio 1 - Qual é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contendo todas as assinaturar agregadas?</t>
    </r>
  </si>
  <si>
    <t>Rótulos de Linha</t>
  </si>
  <si>
    <t>Total Geral</t>
  </si>
  <si>
    <t>Soma de Total Value</t>
  </si>
  <si>
    <r>
      <t xml:space="preserve">Pergunta de Negócio 2 - Qual é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, separado por </t>
    </r>
    <r>
      <rPr>
        <b/>
        <sz val="11"/>
        <color theme="1"/>
        <rFont val="Aptos Narrow"/>
        <family val="2"/>
        <scheme val="minor"/>
      </rPr>
      <t>com e sem autorenovação</t>
    </r>
    <r>
      <rPr>
        <sz val="11"/>
        <color theme="1"/>
        <rFont val="Aptos Narrow"/>
        <family val="2"/>
        <scheme val="minor"/>
      </rPr>
      <t>?</t>
    </r>
  </si>
  <si>
    <t>#5BF6A8</t>
  </si>
  <si>
    <t>PaletadeCores</t>
  </si>
  <si>
    <t>#9BC848</t>
  </si>
  <si>
    <t>XboxColor</t>
  </si>
  <si>
    <t>#E8E6E9</t>
  </si>
  <si>
    <t>negativezone</t>
  </si>
  <si>
    <t>#22C55E</t>
  </si>
  <si>
    <t>#2AE6B1</t>
  </si>
  <si>
    <t>XBOX GAMEPASS SUBSCRIPTION SALES</t>
  </si>
  <si>
    <t>Pergunta de Negócio 3 - Total de Vendas de assinatura do EA PLAY</t>
  </si>
  <si>
    <t>Soma de EA Play Season Pass
Price</t>
  </si>
  <si>
    <t>(Tudo)</t>
  </si>
  <si>
    <t>Pergunta de Negócio 4 - Total de Vendas de assinatura do Minecraft Season Pass</t>
  </si>
  <si>
    <t>Soma de Minecraft Season Pass Price</t>
  </si>
  <si>
    <t>&gt; Welcome, User!</t>
  </si>
  <si>
    <t xml:space="preserve">Pergunta de Negócio 5 - Quanto do faturamento foi sem e com desconto? </t>
  </si>
  <si>
    <t>Total Value Without Coupon</t>
  </si>
  <si>
    <t>Soma de Total Value Without Coupon</t>
  </si>
  <si>
    <t>Pergunta de Negócio 6 - Quanto que cada assinatura representa da receita total?</t>
  </si>
  <si>
    <t>Soma de EA Play Season Pass sum</t>
  </si>
  <si>
    <t>TOTAL BEFORE COUPONS</t>
  </si>
  <si>
    <t>TOTAL (R$)</t>
  </si>
  <si>
    <t>BEFORE COUPONS | COMPOSITION = 100%</t>
  </si>
  <si>
    <t>Soma de Subscription Price</t>
  </si>
  <si>
    <t>EA PLAY COMPOSITION</t>
  </si>
  <si>
    <t>Minecraft SEASON PASS COMPOSITION</t>
  </si>
  <si>
    <t>ULTIMATE BASE COMPOSITION</t>
  </si>
  <si>
    <t>Reporting Period: 01/01/2024 - 31/12/2024 | Last Updated: 14/10/2026 14:47:00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</si>
</sst>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0.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b/>
      <sz val="15"/>
      <color rgb="FF22C55E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9"/>
      <color rgb="FFFFFFFF"/>
      <name val="Aptos Narrow"/>
      <family val="2"/>
      <scheme val="minor"/>
    </font>
    <font>
      <b/>
      <sz val="7"/>
      <color rgb="FFFFFFFF"/>
      <name val="Aptos Narrow"/>
      <family val="2"/>
      <scheme val="minor"/>
    </font>
    <font>
      <b/>
      <sz val="8"/>
      <color rgb="FFE8E6E9"/>
      <name val="Segoe UI"/>
    </font>
    <font>
      <sz val="6"/>
      <color rgb="FFAAB0AC"/>
      <name val="Aptos Narrow"/>
      <family val="2"/>
      <scheme val="minor"/>
    </font>
    <font>
      <b/>
      <sz val="10"/>
      <color rgb="FF2AE6B1"/>
      <name val="Segoe UI"/>
      <family val="2"/>
    </font>
    <font>
      <b/>
      <sz val="9"/>
      <color rgb="FF2AE6B1"/>
      <name val="Segoe UI"/>
      <family val="2"/>
    </font>
    <font>
      <b/>
      <sz val="7"/>
      <color rgb="FFE8E6E9"/>
      <name val="Segoe UI"/>
      <family val="2"/>
    </font>
    <font>
      <sz val="11"/>
      <color rgb="FF424242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71A1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196B24"/>
      </left>
      <right/>
      <top style="thin">
        <color rgb="FF196B24"/>
      </top>
      <bottom/>
      <diagonal/>
    </border>
    <border>
      <left/>
      <right/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/>
      <diagonal/>
    </border>
    <border>
      <left style="thin">
        <color rgb="FF196B24"/>
      </left>
      <right/>
      <top style="thin">
        <color rgb="FF196B24"/>
      </top>
      <bottom style="thin">
        <color rgb="FF196B24"/>
      </bottom>
      <diagonal/>
    </border>
    <border>
      <left/>
      <right/>
      <top style="thin">
        <color rgb="FF196B24"/>
      </top>
      <bottom style="thin">
        <color rgb="FF196B24"/>
      </bottom>
      <diagonal/>
    </border>
    <border>
      <left/>
      <right style="thin">
        <color rgb="FF196B24"/>
      </right>
      <top style="thin">
        <color rgb="FF196B24"/>
      </top>
      <bottom style="thin">
        <color rgb="FF196B24"/>
      </bottom>
      <diagonal/>
    </border>
    <border>
      <left/>
      <right/>
      <top/>
      <bottom style="thick">
        <color rgb="FF22C55E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44" fontId="5" fillId="0" borderId="3" xfId="1" applyFont="1" applyFill="1" applyBorder="1" applyAlignment="1">
      <alignment horizontal="center" vertical="center" wrapText="1"/>
    </xf>
    <xf numFmtId="44" fontId="5" fillId="0" borderId="4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44" fontId="5" fillId="0" borderId="6" xfId="1" applyFont="1" applyFill="1" applyBorder="1" applyAlignment="1">
      <alignment horizontal="center" vertical="center" wrapText="1"/>
    </xf>
    <xf numFmtId="44" fontId="5" fillId="0" borderId="7" xfId="1" applyFont="1" applyFill="1" applyBorder="1" applyAlignment="1">
      <alignment horizontal="center" vertical="center" wrapText="1"/>
    </xf>
    <xf numFmtId="0" fontId="2" fillId="0" borderId="1" xfId="2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0" borderId="8" xfId="2" applyBorder="1"/>
    <xf numFmtId="0" fontId="7" fillId="7" borderId="0" xfId="0" applyFont="1" applyFill="1"/>
    <xf numFmtId="44" fontId="0" fillId="0" borderId="0" xfId="1" applyFont="1"/>
    <xf numFmtId="0" fontId="6" fillId="0" borderId="8" xfId="2" applyFont="1" applyBorder="1" applyAlignment="1">
      <alignment horizontal="left" indent="7"/>
    </xf>
    <xf numFmtId="0" fontId="8" fillId="4" borderId="0" xfId="0" applyFont="1" applyFill="1" applyAlignment="1">
      <alignment horizontal="center"/>
    </xf>
    <xf numFmtId="9" fontId="0" fillId="0" borderId="0" xfId="3" applyFont="1"/>
    <xf numFmtId="10" fontId="0" fillId="0" borderId="0" xfId="3" applyNumberFormat="1" applyFont="1"/>
    <xf numFmtId="0" fontId="11" fillId="9" borderId="0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center" wrapText="1"/>
    </xf>
    <xf numFmtId="164" fontId="13" fillId="9" borderId="0" xfId="0" applyNumberFormat="1" applyFont="1" applyFill="1" applyBorder="1" applyAlignment="1">
      <alignment horizontal="right" vertical="center"/>
    </xf>
    <xf numFmtId="4" fontId="14" fillId="9" borderId="0" xfId="0" applyNumberFormat="1" applyFont="1" applyFill="1" applyBorder="1" applyAlignment="1">
      <alignment horizontal="right" vertical="center"/>
    </xf>
    <xf numFmtId="164" fontId="0" fillId="0" borderId="0" xfId="3" applyNumberFormat="1" applyFont="1"/>
    <xf numFmtId="164" fontId="0" fillId="0" borderId="0" xfId="0" applyNumberFormat="1"/>
    <xf numFmtId="0" fontId="10" fillId="4" borderId="0" xfId="0" applyFont="1" applyFill="1" applyBorder="1" applyAlignment="1">
      <alignment horizontal="center"/>
    </xf>
    <xf numFmtId="0" fontId="9" fillId="7" borderId="0" xfId="0" applyFont="1" applyFill="1" applyBorder="1" applyAlignment="1">
      <alignment horizontal="center" wrapText="1"/>
    </xf>
    <xf numFmtId="0" fontId="15" fillId="9" borderId="0" xfId="0" applyFont="1" applyFill="1" applyBorder="1" applyAlignment="1">
      <alignment horizontal="left" vertical="center"/>
    </xf>
    <xf numFmtId="0" fontId="0" fillId="0" borderId="8" xfId="0" applyBorder="1"/>
    <xf numFmtId="0" fontId="16" fillId="0" borderId="9" xfId="0" applyFont="1" applyBorder="1" applyAlignment="1">
      <alignment horizontal="left" vertical="center" indent="2"/>
    </xf>
  </cellXfs>
  <cellStyles count="4">
    <cellStyle name="Moeda" xfId="1" builtinId="4"/>
    <cellStyle name="Normal" xfId="0" builtinId="0"/>
    <cellStyle name="Porcentagem" xfId="3" builtinId="5"/>
    <cellStyle name="Título 1" xfId="2" builtinId="16"/>
  </cellStyles>
  <dxfs count="2">
    <dxf>
      <font>
        <b/>
        <i val="0"/>
        <color theme="0"/>
      </font>
    </dxf>
    <dxf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1" pivot="0" table="0" count="7" xr9:uid="{3C58C7D0-7AA8-4E9B-A69B-CF3CFBA9763B}">
      <tableStyleElement type="wholeTable" dxfId="1"/>
      <tableStyleElement type="headerRow" dxfId="0"/>
    </tableStyle>
  </tableStyles>
  <colors>
    <mruColors>
      <color rgb="FF22C55E"/>
      <color rgb="FFE8E6E9"/>
      <color rgb="FF9BC848"/>
      <color rgb="FF2AE6B1"/>
      <color rgb="FF5BF6A8"/>
    </mruColors>
  </colors>
  <extLst>
    <ext xmlns:x14="http://schemas.microsoft.com/office/spreadsheetml/2009/9/main" uri="{46F421CA-312F-682f-3DD2-61675219B42D}">
      <x14:dxfs count="5">
        <dxf>
          <fill>
            <patternFill>
              <bgColor theme="0"/>
            </patternFill>
          </fill>
        </dxf>
        <dxf>
          <fill>
            <patternFill>
              <bgColor rgb="FF2AE6B1"/>
            </patternFill>
          </fill>
        </dxf>
        <dxf>
          <fill>
            <patternFill>
              <bgColor theme="0"/>
            </patternFill>
          </fill>
        </dxf>
        <dxf>
          <font>
            <b/>
            <i val="0"/>
            <color theme="1"/>
          </font>
          <fill>
            <patternFill>
              <bgColor rgb="FF2AE6B1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Un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[Dashboard_Xbox.xlsx]Calculos!tbl_annual_total_sales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44-48AD-AEA7-11BE9CD3A236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44-48AD-AEA7-11BE9CD3A2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Calculos!$C$9:$C$11</c:f>
              <c:numCache>
                <c:formatCode>_("R$"* #,##0.00_);_("R$"* \(#,##0.00\);_("R$"* "-"??_);_(@_)</c:formatCode>
                <c:ptCount val="2"/>
                <c:pt idx="0">
                  <c:v>2679</c:v>
                </c:pt>
                <c:pt idx="1">
                  <c:v>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44-48AD-AEA7-11BE9CD3A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7337216"/>
        <c:axId val="1464272896"/>
      </c:barChart>
      <c:catAx>
        <c:axId val="132733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272896"/>
        <c:crosses val="autoZero"/>
        <c:auto val="1"/>
        <c:lblAlgn val="ctr"/>
        <c:lblOffset val="100"/>
        <c:noMultiLvlLbl val="0"/>
      </c:catAx>
      <c:valAx>
        <c:axId val="14642728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2733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[Dashboard_Xbox.xlsx]Calculos!Tabela dinâmica3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Calculos!$B$40</c:f>
              <c:strCache>
                <c:ptCount val="1"/>
                <c:pt idx="0">
                  <c:v>Soma de Total Value Without Coupon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Calculos!$B$41</c:f>
              <c:numCache>
                <c:formatCode>_("R$"* #,##0.00_);_("R$"* \(#,##0.00\);_("R$"* "-"??_);_(@_)</c:formatCode>
                <c:ptCount val="1"/>
                <c:pt idx="0">
                  <c:v>6370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4-41AE-AE35-5BADA5400A73}"/>
            </c:ext>
          </c:extLst>
        </c:ser>
        <c:ser>
          <c:idx val="1"/>
          <c:order val="1"/>
          <c:tx>
            <c:strRef>
              <c:f>Calculos!$C$40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Calculos!$B$41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Calculos!$C$41</c:f>
              <c:numCache>
                <c:formatCode>_("R$"* #,##0.00_);_("R$"* \(#,##0.00\);_("R$"* "-"??_);_(@_)</c:formatCode>
                <c:ptCount val="1"/>
                <c:pt idx="0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4-41AE-AE35-5BADA5400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186559"/>
        <c:axId val="1089280831"/>
      </c:barChart>
      <c:catAx>
        <c:axId val="1868186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9280831"/>
        <c:crosses val="autoZero"/>
        <c:auto val="1"/>
        <c:lblAlgn val="ctr"/>
        <c:lblOffset val="100"/>
        <c:noMultiLvlLbl val="0"/>
      </c:catAx>
      <c:valAx>
        <c:axId val="108928083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6818655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chart" Target="../charts/chart1.xml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247649</xdr:colOff>
      <xdr:row>13</xdr:row>
      <xdr:rowOff>180975</xdr:rowOff>
    </xdr:from>
    <xdr:to>
      <xdr:col>3</xdr:col>
      <xdr:colOff>443321</xdr:colOff>
      <xdr:row>16</xdr:row>
      <xdr:rowOff>71248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256BA9-D709-41B0-938E-E678D0B01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49" y="2809875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16</xdr:row>
      <xdr:rowOff>61723</xdr:rowOff>
    </xdr:from>
    <xdr:to>
      <xdr:col>5</xdr:col>
      <xdr:colOff>371475</xdr:colOff>
      <xdr:row>21</xdr:row>
      <xdr:rowOff>131446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2D9CC1-E84F-490C-AE4E-AF2A87A35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3262123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504825</xdr:colOff>
      <xdr:row>13</xdr:row>
      <xdr:rowOff>85725</xdr:rowOff>
    </xdr:from>
    <xdr:to>
      <xdr:col>11</xdr:col>
      <xdr:colOff>133350</xdr:colOff>
      <xdr:row>14</xdr:row>
      <xdr:rowOff>133350</xdr:rowOff>
    </xdr:to>
    <xdr:pic>
      <xdr:nvPicPr>
        <xdr:cNvPr id="4" name="Gráfico 3" descr="Lupa com preenchimento sólido">
          <a:extLst>
            <a:ext uri="{FF2B5EF4-FFF2-40B4-BE49-F238E27FC236}">
              <a16:creationId xmlns:a16="http://schemas.microsoft.com/office/drawing/2014/main" id="{C996128F-CBFB-4A9E-8F62-F9E4650C1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86575" y="2714625"/>
          <a:ext cx="238125" cy="23812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9</xdr:col>
      <xdr:colOff>85725</xdr:colOff>
      <xdr:row>16</xdr:row>
      <xdr:rowOff>123825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A50E1F4F-5705-4DD8-99EA-1F6C6A459B11}"/>
            </a:ext>
          </a:extLst>
        </xdr:cNvPr>
        <xdr:cNvSpPr/>
      </xdr:nvSpPr>
      <xdr:spPr>
        <a:xfrm>
          <a:off x="5162550" y="2628900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9</xdr:col>
      <xdr:colOff>209550</xdr:colOff>
      <xdr:row>13</xdr:row>
      <xdr:rowOff>9525</xdr:rowOff>
    </xdr:from>
    <xdr:to>
      <xdr:col>10</xdr:col>
      <xdr:colOff>295275</xdr:colOff>
      <xdr:row>16</xdr:row>
      <xdr:rowOff>133350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3B05CE3C-CFFA-4AD0-B30A-6F559E7E26EB}"/>
            </a:ext>
          </a:extLst>
        </xdr:cNvPr>
        <xdr:cNvSpPr/>
      </xdr:nvSpPr>
      <xdr:spPr>
        <a:xfrm>
          <a:off x="5981700" y="2638425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28575</xdr:colOff>
      <xdr:row>22</xdr:row>
      <xdr:rowOff>152400</xdr:rowOff>
    </xdr:from>
    <xdr:to>
      <xdr:col>2</xdr:col>
      <xdr:colOff>638175</xdr:colOff>
      <xdr:row>29</xdr:row>
      <xdr:rowOff>38100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1279ADE-6FF4-4F43-984F-A52D45EF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4495800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409575</xdr:colOff>
      <xdr:row>23</xdr:row>
      <xdr:rowOff>152399</xdr:rowOff>
    </xdr:from>
    <xdr:to>
      <xdr:col>5</xdr:col>
      <xdr:colOff>787476</xdr:colOff>
      <xdr:row>27</xdr:row>
      <xdr:rowOff>142875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E790538B-9E2B-47C8-AF93-20B968B37873}"/>
            </a:ext>
          </a:extLst>
        </xdr:cNvPr>
        <xdr:cNvGrpSpPr/>
      </xdr:nvGrpSpPr>
      <xdr:grpSpPr>
        <a:xfrm>
          <a:off x="2324100" y="4686299"/>
          <a:ext cx="1549476" cy="752476"/>
          <a:chOff x="3495675" y="5400674"/>
          <a:chExt cx="1549476" cy="752476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56DCDE72-A61A-06A4-A5A3-D934155A3F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0" name="Gráfico 9">
            <a:extLst>
              <a:ext uri="{FF2B5EF4-FFF2-40B4-BE49-F238E27FC236}">
                <a16:creationId xmlns:a16="http://schemas.microsoft.com/office/drawing/2014/main" id="{33914B3B-68F8-93C1-8984-3C5A234893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61913</xdr:colOff>
      <xdr:row>0</xdr:row>
      <xdr:rowOff>19050</xdr:rowOff>
    </xdr:from>
    <xdr:to>
      <xdr:col>3</xdr:col>
      <xdr:colOff>71438</xdr:colOff>
      <xdr:row>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87B5E9-995C-44A3-8081-580019DFA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0250" r="71947" b="15207"/>
        <a:stretch>
          <a:fillRect/>
        </a:stretch>
      </xdr:blipFill>
      <xdr:spPr>
        <a:xfrm>
          <a:off x="1919288" y="19050"/>
          <a:ext cx="619125" cy="762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46435</xdr:rowOff>
    </xdr:from>
    <xdr:to>
      <xdr:col>1</xdr:col>
      <xdr:colOff>0</xdr:colOff>
      <xdr:row>19</xdr:row>
      <xdr:rowOff>29766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AA705D6-5DDC-448D-BE6A-FE7E67C5A6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9010"/>
              <a:ext cx="1828800" cy="24217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114300</xdr:colOff>
      <xdr:row>4</xdr:row>
      <xdr:rowOff>142878</xdr:rowOff>
    </xdr:from>
    <xdr:to>
      <xdr:col>9</xdr:col>
      <xdr:colOff>209024</xdr:colOff>
      <xdr:row>13</xdr:row>
      <xdr:rowOff>95253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698416AC-E2AF-442A-A97D-D8B883F714EC}"/>
            </a:ext>
          </a:extLst>
        </xdr:cNvPr>
        <xdr:cNvGrpSpPr/>
      </xdr:nvGrpSpPr>
      <xdr:grpSpPr>
        <a:xfrm>
          <a:off x="1971675" y="1181103"/>
          <a:ext cx="4361924" cy="1743075"/>
          <a:chOff x="1971675" y="1200150"/>
          <a:chExt cx="4361924" cy="174307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25C9F378-65E6-E1E8-99B5-96F76D94A904}"/>
              </a:ext>
            </a:extLst>
          </xdr:cNvPr>
          <xdr:cNvGrpSpPr/>
        </xdr:nvGrpSpPr>
        <xdr:grpSpPr>
          <a:xfrm>
            <a:off x="1971675" y="1209675"/>
            <a:ext cx="4352925" cy="1733550"/>
            <a:chOff x="7600950" y="1285875"/>
            <a:chExt cx="4352925" cy="1733550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F9630EF5-FF51-D8B2-5E57-343FF86D3242}"/>
                </a:ext>
              </a:extLst>
            </xdr:cNvPr>
            <xdr:cNvSpPr/>
          </xdr:nvSpPr>
          <xdr:spPr>
            <a:xfrm>
              <a:off x="7600950" y="1285875"/>
              <a:ext cx="4352925" cy="1733550"/>
            </a:xfrm>
            <a:prstGeom prst="roundRect">
              <a:avLst>
                <a:gd name="adj" fmla="val 109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 R$ 2.940,00 </a:t>
              </a:r>
            </a:p>
          </xdr:txBody>
        </xdr:sp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ABE7FC06-1BCE-C29D-53D7-0B8B9EB46864}"/>
                </a:ext>
              </a:extLst>
            </xdr:cNvPr>
            <xdr:cNvGrpSpPr/>
          </xdr:nvGrpSpPr>
          <xdr:grpSpPr>
            <a:xfrm>
              <a:off x="7822180" y="1554171"/>
              <a:ext cx="4074547" cy="1398579"/>
              <a:chOff x="2342748" y="1440076"/>
              <a:chExt cx="4399744" cy="1541454"/>
            </a:xfrm>
          </xdr:grpSpPr>
          <xdr:sp macro="" textlink="Calculos!E21">
            <xdr:nvSpPr>
              <xdr:cNvPr id="8" name="Retângulo: Cantos Arredondados 7">
                <a:extLst>
                  <a:ext uri="{FF2B5EF4-FFF2-40B4-BE49-F238E27FC236}">
                    <a16:creationId xmlns:a16="http://schemas.microsoft.com/office/drawing/2014/main" id="{BE613153-D86E-4AB7-AEF2-DBFC5CE6AB03}"/>
                  </a:ext>
                </a:extLst>
              </xdr:cNvPr>
              <xdr:cNvSpPr/>
            </xdr:nvSpPr>
            <xdr:spPr>
              <a:xfrm>
                <a:off x="2360993" y="1440076"/>
                <a:ext cx="4381499" cy="1541454"/>
              </a:xfrm>
              <a:prstGeom prst="roundRect">
                <a:avLst>
                  <a:gd name="adj" fmla="val 1098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67377019-7356-4C01-BE3C-CE51F1A25762}" type="TxLink">
                  <a:rPr lang="en-US" sz="2000" b="1" i="0" u="none" strike="noStrike">
                    <a:solidFill>
                      <a:srgbClr val="2AE6B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 algn="ctr"/>
                  <a:t> R$ 2.940,00 </a:t>
                </a:fld>
                <a:endParaRPr lang="en-US" sz="2000" b="1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pic>
            <xdr:nvPicPr>
              <xdr:cNvPr id="10" name="Imagem 9">
                <a:extLst>
                  <a:ext uri="{FF2B5EF4-FFF2-40B4-BE49-F238E27FC236}">
                    <a16:creationId xmlns:a16="http://schemas.microsoft.com/office/drawing/2014/main" id="{82F1F340-9985-4401-9C2D-DB4902721C4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342748" y="1601203"/>
                <a:ext cx="1219200" cy="1219200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1F0C741A-2893-083E-E318-131E44CE1795}"/>
              </a:ext>
            </a:extLst>
          </xdr:cNvPr>
          <xdr:cNvSpPr/>
        </xdr:nvSpPr>
        <xdr:spPr>
          <a:xfrm>
            <a:off x="1981199" y="1200150"/>
            <a:ext cx="4352400" cy="3714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85726</xdr:colOff>
      <xdr:row>14</xdr:row>
      <xdr:rowOff>9525</xdr:rowOff>
    </xdr:from>
    <xdr:to>
      <xdr:col>9</xdr:col>
      <xdr:colOff>209550</xdr:colOff>
      <xdr:row>28</xdr:row>
      <xdr:rowOff>114302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37BC9A69-10DC-6897-AB76-8A9E656D3C0A}"/>
            </a:ext>
          </a:extLst>
        </xdr:cNvPr>
        <xdr:cNvGrpSpPr/>
      </xdr:nvGrpSpPr>
      <xdr:grpSpPr>
        <a:xfrm>
          <a:off x="1943101" y="3028950"/>
          <a:ext cx="4391024" cy="2790827"/>
          <a:chOff x="1943101" y="3028950"/>
          <a:chExt cx="8934449" cy="279082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3ED76C68-9C6F-1B68-77A6-4E5F0EC06E04}"/>
              </a:ext>
            </a:extLst>
          </xdr:cNvPr>
          <xdr:cNvGrpSpPr/>
        </xdr:nvGrpSpPr>
        <xdr:grpSpPr>
          <a:xfrm>
            <a:off x="1943101" y="3036367"/>
            <a:ext cx="8934449" cy="2783410"/>
            <a:chOff x="2335491" y="1647825"/>
            <a:chExt cx="4627284" cy="2463693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975AACD-EC40-685F-92AE-51E7948F90CD}"/>
                </a:ext>
              </a:extLst>
            </xdr:cNvPr>
            <xdr:cNvSpPr/>
          </xdr:nvSpPr>
          <xdr:spPr>
            <a:xfrm>
              <a:off x="2352675" y="1647825"/>
              <a:ext cx="4610100" cy="2381250"/>
            </a:xfrm>
            <a:prstGeom prst="roundRect">
              <a:avLst>
                <a:gd name="adj" fmla="val 146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2DBED4C-09FD-493E-BF4E-7A053731CE38}"/>
                </a:ext>
              </a:extLst>
            </xdr:cNvPr>
            <xdr:cNvGraphicFramePr>
              <a:graphicFrameLocks/>
            </xdr:cNvGraphicFramePr>
          </xdr:nvGraphicFramePr>
          <xdr:xfrm>
            <a:off x="2335491" y="1725570"/>
            <a:ext cx="4604288" cy="238594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9900CFFF-87AB-4122-B782-8EFDB870C01C}"/>
              </a:ext>
            </a:extLst>
          </xdr:cNvPr>
          <xdr:cNvSpPr/>
        </xdr:nvSpPr>
        <xdr:spPr>
          <a:xfrm>
            <a:off x="1962150" y="3028950"/>
            <a:ext cx="8915400" cy="3714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 XBOX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GAMEPASS WITH AUTORENEWAL </a:t>
            </a:r>
          </a:p>
        </xdr:txBody>
      </xdr:sp>
    </xdr:grpSp>
    <xdr:clientData/>
  </xdr:twoCellAnchor>
  <xdr:twoCellAnchor editAs="absolute">
    <xdr:from>
      <xdr:col>9</xdr:col>
      <xdr:colOff>276225</xdr:colOff>
      <xdr:row>4</xdr:row>
      <xdr:rowOff>142878</xdr:rowOff>
    </xdr:from>
    <xdr:to>
      <xdr:col>16</xdr:col>
      <xdr:colOff>370949</xdr:colOff>
      <xdr:row>13</xdr:row>
      <xdr:rowOff>95253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F7C44C36-F458-7235-2F53-B24D8256E16C}"/>
            </a:ext>
          </a:extLst>
        </xdr:cNvPr>
        <xdr:cNvGrpSpPr/>
      </xdr:nvGrpSpPr>
      <xdr:grpSpPr>
        <a:xfrm>
          <a:off x="6400800" y="1181103"/>
          <a:ext cx="4361924" cy="1743075"/>
          <a:chOff x="6410325" y="1190625"/>
          <a:chExt cx="4361924" cy="1743075"/>
        </a:xfrm>
      </xdr:grpSpPr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38B5EA97-93F6-9C64-812B-3D6BE6ECC557}"/>
              </a:ext>
            </a:extLst>
          </xdr:cNvPr>
          <xdr:cNvGrpSpPr/>
        </xdr:nvGrpSpPr>
        <xdr:grpSpPr>
          <a:xfrm>
            <a:off x="6410325" y="1190625"/>
            <a:ext cx="4361924" cy="1743075"/>
            <a:chOff x="6524625" y="1200150"/>
            <a:chExt cx="4361924" cy="1743075"/>
          </a:xfrm>
        </xdr:grpSpPr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4CED4903-B121-4657-91E8-6E0A18248C9D}"/>
                </a:ext>
              </a:extLst>
            </xdr:cNvPr>
            <xdr:cNvGrpSpPr/>
          </xdr:nvGrpSpPr>
          <xdr:grpSpPr>
            <a:xfrm>
              <a:off x="6524625" y="1200150"/>
              <a:ext cx="4361924" cy="1743075"/>
              <a:chOff x="1971675" y="1200150"/>
              <a:chExt cx="4361924" cy="1743075"/>
            </a:xfrm>
          </xdr:grpSpPr>
          <xdr:grpSp>
            <xdr:nvGrpSpPr>
              <xdr:cNvPr id="16" name="Agrupar 15">
                <a:extLst>
                  <a:ext uri="{FF2B5EF4-FFF2-40B4-BE49-F238E27FC236}">
                    <a16:creationId xmlns:a16="http://schemas.microsoft.com/office/drawing/2014/main" id="{FB3D1A2B-B47A-DDB4-BF60-7B9A2C69599F}"/>
                  </a:ext>
                </a:extLst>
              </xdr:cNvPr>
              <xdr:cNvGrpSpPr/>
            </xdr:nvGrpSpPr>
            <xdr:grpSpPr>
              <a:xfrm>
                <a:off x="1971675" y="1209675"/>
                <a:ext cx="4352925" cy="1733550"/>
                <a:chOff x="7600950" y="1285875"/>
                <a:chExt cx="4352925" cy="1733550"/>
              </a:xfrm>
            </xdr:grpSpPr>
            <xdr:sp macro="" textlink="">
              <xdr:nvSpPr>
                <xdr:cNvPr id="18" name="Retângulo: Cantos Arredondados 17">
                  <a:extLst>
                    <a:ext uri="{FF2B5EF4-FFF2-40B4-BE49-F238E27FC236}">
                      <a16:creationId xmlns:a16="http://schemas.microsoft.com/office/drawing/2014/main" id="{54113926-FABB-A1CA-A87C-BE5BC8FA9E08}"/>
                    </a:ext>
                  </a:extLst>
                </xdr:cNvPr>
                <xdr:cNvSpPr/>
              </xdr:nvSpPr>
              <xdr:spPr>
                <a:xfrm>
                  <a:off x="7600950" y="1285875"/>
                  <a:ext cx="4352925" cy="1733550"/>
                </a:xfrm>
                <a:prstGeom prst="roundRect">
                  <a:avLst>
                    <a:gd name="adj" fmla="val 1098"/>
                  </a:avLst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100"/>
                    <a:t> R$ 2.940,00 </a:t>
                  </a:r>
                </a:p>
              </xdr:txBody>
            </xdr:sp>
            <xdr:sp macro="" textlink="Calculos!E32">
              <xdr:nvSpPr>
                <xdr:cNvPr id="20" name="Retângulo: Cantos Arredondados 19">
                  <a:extLst>
                    <a:ext uri="{FF2B5EF4-FFF2-40B4-BE49-F238E27FC236}">
                      <a16:creationId xmlns:a16="http://schemas.microsoft.com/office/drawing/2014/main" id="{A13AB602-3ABB-10D7-83AF-A303FC8C5B0C}"/>
                    </a:ext>
                  </a:extLst>
                </xdr:cNvPr>
                <xdr:cNvSpPr/>
              </xdr:nvSpPr>
              <xdr:spPr>
                <a:xfrm>
                  <a:off x="7839077" y="1554171"/>
                  <a:ext cx="4057651" cy="1398579"/>
                </a:xfrm>
                <a:prstGeom prst="roundRect">
                  <a:avLst>
                    <a:gd name="adj" fmla="val 1098"/>
                  </a:avLst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AA3F23A4-9AEB-4350-A0AE-2EB44F7E8C53}" type="TxLink">
                    <a:rPr lang="en-US" sz="2000" b="1" i="0" u="none" strike="noStrike">
                      <a:solidFill>
                        <a:srgbClr val="2AE6B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pPr algn="ctr"/>
                    <a:t> R$ 1.960,00 </a:t>
                  </a:fld>
                  <a:endParaRPr lang="en-US" sz="2000" b="1" i="0" u="none" strike="noStrike">
                    <a:solidFill>
                      <a:srgbClr val="2AE6B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sp macro="" textlink="">
            <xdr:nvSpPr>
              <xdr:cNvPr id="17" name="Retângulo: Cantos Superiores Arredondados 16">
                <a:extLst>
                  <a:ext uri="{FF2B5EF4-FFF2-40B4-BE49-F238E27FC236}">
                    <a16:creationId xmlns:a16="http://schemas.microsoft.com/office/drawing/2014/main" id="{9B7AD905-F70C-750A-0046-688926416DA4}"/>
                  </a:ext>
                </a:extLst>
              </xdr:cNvPr>
              <xdr:cNvSpPr/>
            </xdr:nvSpPr>
            <xdr:spPr>
              <a:xfrm>
                <a:off x="1981199" y="1200150"/>
                <a:ext cx="4352400" cy="371475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 Minecraft</a:t>
                </a:r>
                <a:r>
                  <a:rPr lang="pt-BR" sz="11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SEASON PASS</a:t>
                </a:r>
                <a:endParaRPr lang="pt-BR" sz="1100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31" name="Retângulo: Cantos Superiores Arredondados 30">
              <a:extLst>
                <a:ext uri="{FF2B5EF4-FFF2-40B4-BE49-F238E27FC236}">
                  <a16:creationId xmlns:a16="http://schemas.microsoft.com/office/drawing/2014/main" id="{8B7EAE58-63B1-4E91-A68C-6E7AFFAB131D}"/>
                </a:ext>
              </a:extLst>
            </xdr:cNvPr>
            <xdr:cNvSpPr/>
          </xdr:nvSpPr>
          <xdr:spPr>
            <a:xfrm>
              <a:off x="6524625" y="1200150"/>
              <a:ext cx="4352400" cy="3714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 Minecraft</a:t>
              </a:r>
              <a:r>
                <a:rPr lang="pt-BR" sz="1100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  <a:endParaRPr lang="pt-BR" sz="11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1ADC6BA8-3902-4E7A-99C3-5796922DEDEA}"/>
              </a:ext>
            </a:extLst>
          </xdr:cNvPr>
          <xdr:cNvGrpSpPr/>
        </xdr:nvGrpSpPr>
        <xdr:grpSpPr>
          <a:xfrm>
            <a:off x="6486525" y="1752600"/>
            <a:ext cx="1200150" cy="552450"/>
            <a:chOff x="3495675" y="5400674"/>
            <a:chExt cx="1549476" cy="752476"/>
          </a:xfrm>
        </xdr:grpSpPr>
        <xdr:pic>
          <xdr:nvPicPr>
            <xdr:cNvPr id="38" name="Imagem 37">
              <a:extLst>
                <a:ext uri="{FF2B5EF4-FFF2-40B4-BE49-F238E27FC236}">
                  <a16:creationId xmlns:a16="http://schemas.microsoft.com/office/drawing/2014/main" id="{AFC0786C-B14F-6D55-BD98-AE347D8ACF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9" name="Gráfico 38">
              <a:extLst>
                <a:ext uri="{FF2B5EF4-FFF2-40B4-BE49-F238E27FC236}">
                  <a16:creationId xmlns:a16="http://schemas.microsoft.com/office/drawing/2014/main" id="{E0C83288-4E0E-C34E-6AEF-BC6CEE0BAD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552450</xdr:colOff>
      <xdr:row>1</xdr:row>
      <xdr:rowOff>133350</xdr:rowOff>
    </xdr:from>
    <xdr:to>
      <xdr:col>0</xdr:col>
      <xdr:colOff>1247775</xdr:colOff>
      <xdr:row>3</xdr:row>
      <xdr:rowOff>171450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62EDA02A-339D-454E-8721-D315526B1195}"/>
            </a:ext>
          </a:extLst>
        </xdr:cNvPr>
        <xdr:cNvSpPr/>
      </xdr:nvSpPr>
      <xdr:spPr>
        <a:xfrm>
          <a:off x="552450" y="32385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9</xdr:col>
      <xdr:colOff>276225</xdr:colOff>
      <xdr:row>14</xdr:row>
      <xdr:rowOff>9525</xdr:rowOff>
    </xdr:from>
    <xdr:to>
      <xdr:col>16</xdr:col>
      <xdr:colOff>371475</xdr:colOff>
      <xdr:row>28</xdr:row>
      <xdr:rowOff>19050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7BCC1E58-4C1D-3525-2C90-53B461DF5ABB}"/>
            </a:ext>
          </a:extLst>
        </xdr:cNvPr>
        <xdr:cNvGrpSpPr/>
      </xdr:nvGrpSpPr>
      <xdr:grpSpPr>
        <a:xfrm>
          <a:off x="6400800" y="3028950"/>
          <a:ext cx="4362450" cy="2695575"/>
          <a:chOff x="6534150" y="3028950"/>
          <a:chExt cx="4295775" cy="2695575"/>
        </a:xfrm>
      </xdr:grpSpPr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63568236-5C35-D2FE-C392-9551D441AE9B}"/>
              </a:ext>
            </a:extLst>
          </xdr:cNvPr>
          <xdr:cNvGrpSpPr/>
        </xdr:nvGrpSpPr>
        <xdr:grpSpPr>
          <a:xfrm>
            <a:off x="6543675" y="3362325"/>
            <a:ext cx="4286250" cy="2362200"/>
            <a:chOff x="6276975" y="3257550"/>
            <a:chExt cx="4838700" cy="2933700"/>
          </a:xfrm>
        </xdr:grpSpPr>
        <xdr:sp macro="" textlink="">
          <xdr:nvSpPr>
            <xdr:cNvPr id="44" name="Retângulo: Cantos Arredondados 43">
              <a:extLst>
                <a:ext uri="{FF2B5EF4-FFF2-40B4-BE49-F238E27FC236}">
                  <a16:creationId xmlns:a16="http://schemas.microsoft.com/office/drawing/2014/main" id="{73F1A9FA-736B-6D71-C653-69597ED7375A}"/>
                </a:ext>
              </a:extLst>
            </xdr:cNvPr>
            <xdr:cNvSpPr/>
          </xdr:nvSpPr>
          <xdr:spPr>
            <a:xfrm>
              <a:off x="6276975" y="3257550"/>
              <a:ext cx="4838700" cy="2933700"/>
            </a:xfrm>
            <a:prstGeom prst="roundRect">
              <a:avLst>
                <a:gd name="adj" fmla="val 140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3" name="Gráfico 1">
              <a:extLst>
                <a:ext uri="{FF2B5EF4-FFF2-40B4-BE49-F238E27FC236}">
                  <a16:creationId xmlns:a16="http://schemas.microsoft.com/office/drawing/2014/main" id="{8631B075-5392-DBF5-7CF4-1810422C6487}"/>
                </a:ext>
              </a:extLst>
            </xdr:cNvPr>
            <xdr:cNvGraphicFramePr/>
          </xdr:nvGraphicFramePr>
          <xdr:xfrm>
            <a:off x="6419851" y="3386138"/>
            <a:ext cx="4543426" cy="26765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sp macro="" textlink="">
        <xdr:nvSpPr>
          <xdr:cNvPr id="46" name="Retângulo: Cantos Superiores Arredondados 45">
            <a:extLst>
              <a:ext uri="{FF2B5EF4-FFF2-40B4-BE49-F238E27FC236}">
                <a16:creationId xmlns:a16="http://schemas.microsoft.com/office/drawing/2014/main" id="{8B31414E-EEBD-4D71-AF20-F4EE9CA7076D}"/>
              </a:ext>
            </a:extLst>
          </xdr:cNvPr>
          <xdr:cNvSpPr/>
        </xdr:nvSpPr>
        <xdr:spPr>
          <a:xfrm>
            <a:off x="6534150" y="3028950"/>
            <a:ext cx="4295775" cy="3714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BEFORE &amp; AFTER COUPONS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16</xdr:col>
      <xdr:colOff>438150</xdr:colOff>
      <xdr:row>14</xdr:row>
      <xdr:rowOff>9525</xdr:rowOff>
    </xdr:from>
    <xdr:to>
      <xdr:col>18</xdr:col>
      <xdr:colOff>190500</xdr:colOff>
      <xdr:row>21</xdr:row>
      <xdr:rowOff>9525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B3D56D86-8A5C-7933-E52E-8D0353BCCDAE}"/>
            </a:ext>
          </a:extLst>
        </xdr:cNvPr>
        <xdr:cNvGrpSpPr/>
      </xdr:nvGrpSpPr>
      <xdr:grpSpPr>
        <a:xfrm>
          <a:off x="10829925" y="3028950"/>
          <a:ext cx="1609725" cy="1352550"/>
          <a:chOff x="10896600" y="4324350"/>
          <a:chExt cx="1647825" cy="1390650"/>
        </a:xfrm>
      </xdr:grpSpPr>
      <xdr:sp macro="" textlink="Calculos!E41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DB6B196B-A8E0-6DA1-4F5B-6D55BCE430F2}"/>
              </a:ext>
            </a:extLst>
          </xdr:cNvPr>
          <xdr:cNvSpPr/>
        </xdr:nvSpPr>
        <xdr:spPr>
          <a:xfrm>
            <a:off x="10906125" y="4495800"/>
            <a:ext cx="1638300" cy="1219200"/>
          </a:xfrm>
          <a:prstGeom prst="roundRect">
            <a:avLst>
              <a:gd name="adj" fmla="val 387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33E6FBC-467F-4E80-822B-966EF3577428}" type="TxLink">
              <a:rPr lang="en-US" sz="2000" b="1" i="0" u="none" strike="noStrike">
                <a:solidFill>
                  <a:srgbClr val="5BF6A8"/>
                </a:solidFill>
                <a:latin typeface="Aptos Narrow"/>
              </a:rPr>
              <a:pPr algn="ctr"/>
              <a:t> R$ 982,00 </a:t>
            </a:fld>
            <a:endParaRPr lang="pt-BR" sz="2000" b="1">
              <a:solidFill>
                <a:srgbClr val="5BF6A8"/>
              </a:solidFill>
            </a:endParaRPr>
          </a:p>
        </xdr:txBody>
      </xdr:sp>
      <xdr:sp macro="" textlink="">
        <xdr:nvSpPr>
          <xdr:cNvPr id="49" name="Retângulo: Cantos Superiores Arredondados 48">
            <a:extLst>
              <a:ext uri="{FF2B5EF4-FFF2-40B4-BE49-F238E27FC236}">
                <a16:creationId xmlns:a16="http://schemas.microsoft.com/office/drawing/2014/main" id="{AC51BF76-96A3-42AF-A484-4773621F8892}"/>
              </a:ext>
            </a:extLst>
          </xdr:cNvPr>
          <xdr:cNvSpPr/>
        </xdr:nvSpPr>
        <xdr:spPr>
          <a:xfrm>
            <a:off x="10896600" y="4324350"/>
            <a:ext cx="1647825" cy="381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DIFFERENCE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IN VALUE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17</xdr:col>
      <xdr:colOff>1</xdr:colOff>
      <xdr:row>21</xdr:row>
      <xdr:rowOff>95250</xdr:rowOff>
    </xdr:from>
    <xdr:to>
      <xdr:col>18</xdr:col>
      <xdr:colOff>209551</xdr:colOff>
      <xdr:row>28</xdr:row>
      <xdr:rowOff>19050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B10991ED-7357-4BF9-8780-C72F34BF515A}"/>
            </a:ext>
          </a:extLst>
        </xdr:cNvPr>
        <xdr:cNvGrpSpPr/>
      </xdr:nvGrpSpPr>
      <xdr:grpSpPr>
        <a:xfrm>
          <a:off x="10839451" y="4467225"/>
          <a:ext cx="1619250" cy="1257300"/>
          <a:chOff x="10896600" y="4324350"/>
          <a:chExt cx="1647825" cy="1390650"/>
        </a:xfrm>
      </xdr:grpSpPr>
      <xdr:sp macro="" textlink="Calculos!E43">
        <xdr:nvSpPr>
          <xdr:cNvPr id="52" name="Retângulo: Cantos Arredondados 51">
            <a:extLst>
              <a:ext uri="{FF2B5EF4-FFF2-40B4-BE49-F238E27FC236}">
                <a16:creationId xmlns:a16="http://schemas.microsoft.com/office/drawing/2014/main" id="{7793B490-B2BF-E942-AC31-D0E6939382A3}"/>
              </a:ext>
            </a:extLst>
          </xdr:cNvPr>
          <xdr:cNvSpPr/>
        </xdr:nvSpPr>
        <xdr:spPr>
          <a:xfrm>
            <a:off x="10906125" y="4495800"/>
            <a:ext cx="1638300" cy="1219200"/>
          </a:xfrm>
          <a:prstGeom prst="roundRect">
            <a:avLst>
              <a:gd name="adj" fmla="val 387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FE02289-10EA-43CE-BEE2-AEB2140E6D4D}" type="TxLink">
              <a:rPr lang="en-US" sz="2000" b="1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-15%</a:t>
            </a:fld>
            <a:endParaRPr lang="pt-BR" sz="4000" b="1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53" name="Retângulo: Cantos Superiores Arredondados 52">
            <a:extLst>
              <a:ext uri="{FF2B5EF4-FFF2-40B4-BE49-F238E27FC236}">
                <a16:creationId xmlns:a16="http://schemas.microsoft.com/office/drawing/2014/main" id="{225D1585-06D6-6799-6247-2CB1CDCF2ACC}"/>
              </a:ext>
            </a:extLst>
          </xdr:cNvPr>
          <xdr:cNvSpPr/>
        </xdr:nvSpPr>
        <xdr:spPr>
          <a:xfrm>
            <a:off x="10896600" y="4324350"/>
            <a:ext cx="1647825" cy="381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DIFFERENCE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IN %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16</xdr:col>
      <xdr:colOff>438150</xdr:colOff>
      <xdr:row>4</xdr:row>
      <xdr:rowOff>142878</xdr:rowOff>
    </xdr:from>
    <xdr:to>
      <xdr:col>19</xdr:col>
      <xdr:colOff>0</xdr:colOff>
      <xdr:row>6</xdr:row>
      <xdr:rowOff>132440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A6CF3680-1D9E-42F9-BC95-79435FB667EC}"/>
            </a:ext>
          </a:extLst>
        </xdr:cNvPr>
        <xdr:cNvSpPr/>
      </xdr:nvSpPr>
      <xdr:spPr>
        <a:xfrm>
          <a:off x="10829925" y="1181103"/>
          <a:ext cx="2095500" cy="370562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 i="0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GROSS REVENUE COMPOSITION</a:t>
          </a:r>
          <a:endParaRPr lang="pt-BR" sz="1000" b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0" refreshedDate="46308.859248842593" createdVersion="8" refreshedVersion="8" minRefreshableVersion="3" recordCount="98" xr:uid="{091953A2-0490-48B7-AD28-2D0363B5B2E4}">
  <cacheSource type="worksheet">
    <worksheetSource ref="A1:N99" sheet="Base"/>
  </cacheSource>
  <cacheFields count="15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1">
        <s v="Ultimate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15" maxValue="15"/>
    </cacheField>
    <cacheField name="Subscription Type" numFmtId="0">
      <sharedItems count="3">
        <s v="Monthly"/>
        <s v="Quarterly"/>
        <s v="Annual"/>
      </sharedItems>
    </cacheField>
    <cacheField name="EA Play Season Pass" numFmtId="0">
      <sharedItems/>
    </cacheField>
    <cacheField name="EA Play Season Pass_x000a_Price" numFmtId="44">
      <sharedItems containsSemiMixedTypes="0" containsString="0" containsNumber="1" containsInteger="1" minValue="30" maxValue="30" count="1">
        <n v="30"/>
      </sharedItems>
    </cacheField>
    <cacheField name="Minecraft Season Pass" numFmtId="0">
      <sharedItems count="1">
        <s v="Yes"/>
      </sharedItems>
    </cacheField>
    <cacheField name="Minecraft Season Pass Price" numFmtId="44">
      <sharedItems containsSemiMixedTypes="0" containsString="0" containsNumber="1" containsInteger="1" minValue="20" maxValue="20" count="1">
        <n v="20"/>
      </sharedItems>
    </cacheField>
    <cacheField name="Total Value Without Coupon" numFmtId="44">
      <sharedItems containsSemiMixedTypes="0" containsString="0" containsNumber="1" containsInteger="1" minValue="65" maxValue="65" count="1">
        <n v="65"/>
      </sharedItems>
    </cacheField>
    <cacheField name="Coupon Value" numFmtId="44">
      <sharedItems containsSemiMixedTypes="0" containsString="0" containsNumber="1" containsInteger="1" minValue="3" maxValue="20"/>
    </cacheField>
    <cacheField name="Total Value" numFmtId="44">
      <sharedItems containsSemiMixedTypes="0" containsString="0" containsNumber="1" containsInteger="1" minValue="45" maxValue="62"/>
    </cacheField>
    <cacheField name="difference in % " numFmtId="0" formula="'Total Value Without Coupon'/'Total Value'" databaseField="0"/>
  </cacheFields>
  <extLst>
    <ext xmlns:x14="http://schemas.microsoft.com/office/spreadsheetml/2009/9/main" uri="{725AE2AE-9491-48be-B2B4-4EB974FC3084}">
      <x14:pivotCacheDefinition pivotCacheId="17658844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3231"/>
    <s v="João Silva"/>
    <x v="0"/>
    <d v="2024-01-01T00:00:00"/>
    <x v="0"/>
    <n v="15"/>
    <x v="0"/>
    <s v="Yes"/>
    <x v="0"/>
    <x v="0"/>
    <x v="0"/>
    <x v="0"/>
    <n v="5"/>
    <n v="60"/>
  </r>
  <r>
    <n v="3234"/>
    <s v="Ana Souza"/>
    <x v="0"/>
    <d v="2024-02-20T00:00:00"/>
    <x v="1"/>
    <n v="15"/>
    <x v="0"/>
    <s v="Yes"/>
    <x v="0"/>
    <x v="0"/>
    <x v="0"/>
    <x v="0"/>
    <n v="3"/>
    <n v="62"/>
  </r>
  <r>
    <n v="3237"/>
    <s v="Camila Ribeiro"/>
    <x v="0"/>
    <d v="2024-03-03T00:00:00"/>
    <x v="0"/>
    <n v="15"/>
    <x v="1"/>
    <s v="Yes"/>
    <x v="0"/>
    <x v="0"/>
    <x v="0"/>
    <x v="0"/>
    <n v="10"/>
    <n v="55"/>
  </r>
  <r>
    <n v="3239"/>
    <s v="Sofia Almeida"/>
    <x v="0"/>
    <d v="2024-03-05T00:00:00"/>
    <x v="1"/>
    <n v="15"/>
    <x v="0"/>
    <s v="Yes"/>
    <x v="0"/>
    <x v="0"/>
    <x v="0"/>
    <x v="0"/>
    <n v="5"/>
    <n v="60"/>
  </r>
  <r>
    <n v="3242"/>
    <s v="Marco Túlio"/>
    <x v="0"/>
    <d v="2024-03-08T00:00:00"/>
    <x v="0"/>
    <n v="15"/>
    <x v="2"/>
    <s v="Yes"/>
    <x v="0"/>
    <x v="0"/>
    <x v="0"/>
    <x v="0"/>
    <n v="20"/>
    <n v="45"/>
  </r>
  <r>
    <n v="3245"/>
    <s v="Fernanda Lima"/>
    <x v="0"/>
    <d v="2024-03-11T00:00:00"/>
    <x v="1"/>
    <n v="15"/>
    <x v="0"/>
    <s v="Yes"/>
    <x v="0"/>
    <x v="0"/>
    <x v="0"/>
    <x v="0"/>
    <n v="8"/>
    <n v="57"/>
  </r>
  <r>
    <n v="3248"/>
    <s v="Cesar Oliveira"/>
    <x v="0"/>
    <d v="2024-03-14T00:00:00"/>
    <x v="0"/>
    <n v="15"/>
    <x v="1"/>
    <s v="Yes"/>
    <x v="0"/>
    <x v="0"/>
    <x v="0"/>
    <x v="0"/>
    <n v="7"/>
    <n v="58"/>
  </r>
  <r>
    <n v="3251"/>
    <s v="Gabriela Santos"/>
    <x v="0"/>
    <d v="2024-03-17T00:00:00"/>
    <x v="1"/>
    <n v="15"/>
    <x v="0"/>
    <s v="Yes"/>
    <x v="0"/>
    <x v="0"/>
    <x v="0"/>
    <x v="0"/>
    <n v="3"/>
    <n v="62"/>
  </r>
  <r>
    <n v="3254"/>
    <s v="Joaquim Barbosa"/>
    <x v="0"/>
    <d v="2024-03-20T00:00:00"/>
    <x v="0"/>
    <n v="15"/>
    <x v="2"/>
    <s v="Yes"/>
    <x v="0"/>
    <x v="0"/>
    <x v="0"/>
    <x v="0"/>
    <n v="20"/>
    <n v="45"/>
  </r>
  <r>
    <n v="3257"/>
    <s v="Nicole Costa"/>
    <x v="0"/>
    <d v="2024-03-23T00:00:00"/>
    <x v="1"/>
    <n v="15"/>
    <x v="0"/>
    <s v="Yes"/>
    <x v="0"/>
    <x v="0"/>
    <x v="0"/>
    <x v="0"/>
    <n v="5"/>
    <n v="60"/>
  </r>
  <r>
    <n v="3260"/>
    <s v="Raquel Alves"/>
    <x v="0"/>
    <d v="2024-03-26T00:00:00"/>
    <x v="0"/>
    <n v="15"/>
    <x v="1"/>
    <s v="Yes"/>
    <x v="0"/>
    <x v="0"/>
    <x v="0"/>
    <x v="0"/>
    <n v="7"/>
    <n v="58"/>
  </r>
  <r>
    <n v="3263"/>
    <s v="Vinicius Lima"/>
    <x v="0"/>
    <d v="2024-03-29T00:00:00"/>
    <x v="1"/>
    <n v="15"/>
    <x v="0"/>
    <s v="Yes"/>
    <x v="0"/>
    <x v="0"/>
    <x v="0"/>
    <x v="0"/>
    <n v="3"/>
    <n v="62"/>
  </r>
  <r>
    <n v="3267"/>
    <s v="Bruno Cavalheiro"/>
    <x v="0"/>
    <d v="2024-04-02T00:00:00"/>
    <x v="1"/>
    <n v="15"/>
    <x v="1"/>
    <s v="Yes"/>
    <x v="0"/>
    <x v="0"/>
    <x v="0"/>
    <x v="0"/>
    <n v="7"/>
    <n v="58"/>
  </r>
  <r>
    <n v="3270"/>
    <s v="Eunice Lima"/>
    <x v="0"/>
    <d v="2024-04-05T00:00:00"/>
    <x v="0"/>
    <n v="15"/>
    <x v="0"/>
    <s v="Yes"/>
    <x v="0"/>
    <x v="0"/>
    <x v="0"/>
    <x v="0"/>
    <n v="15"/>
    <n v="50"/>
  </r>
  <r>
    <n v="3273"/>
    <s v="Hélio Castro"/>
    <x v="0"/>
    <d v="2024-04-08T00:00:00"/>
    <x v="1"/>
    <n v="15"/>
    <x v="1"/>
    <s v="Yes"/>
    <x v="0"/>
    <x v="0"/>
    <x v="0"/>
    <x v="0"/>
    <n v="20"/>
    <n v="45"/>
  </r>
  <r>
    <n v="3276"/>
    <s v="Kléber Oliveira"/>
    <x v="0"/>
    <d v="2024-04-11T00:00:00"/>
    <x v="0"/>
    <n v="15"/>
    <x v="2"/>
    <s v="Yes"/>
    <x v="0"/>
    <x v="0"/>
    <x v="0"/>
    <x v="0"/>
    <n v="5"/>
    <n v="60"/>
  </r>
  <r>
    <n v="3279"/>
    <s v="Nilo Peçanha"/>
    <x v="0"/>
    <d v="2024-04-14T00:00:00"/>
    <x v="1"/>
    <n v="15"/>
    <x v="0"/>
    <s v="Yes"/>
    <x v="0"/>
    <x v="0"/>
    <x v="0"/>
    <x v="0"/>
    <n v="3"/>
    <n v="62"/>
  </r>
  <r>
    <n v="3282"/>
    <s v="Quirino Gonçalves"/>
    <x v="0"/>
    <d v="2024-04-17T00:00:00"/>
    <x v="0"/>
    <n v="15"/>
    <x v="1"/>
    <s v="Yes"/>
    <x v="0"/>
    <x v="0"/>
    <x v="0"/>
    <x v="0"/>
    <n v="7"/>
    <n v="58"/>
  </r>
  <r>
    <n v="3285"/>
    <s v="Tiago Ramos"/>
    <x v="0"/>
    <d v="2024-04-20T00:00:00"/>
    <x v="1"/>
    <n v="15"/>
    <x v="0"/>
    <s v="Yes"/>
    <x v="0"/>
    <x v="0"/>
    <x v="0"/>
    <x v="0"/>
    <n v="20"/>
    <n v="45"/>
  </r>
  <r>
    <n v="3288"/>
    <s v="William Siqueira"/>
    <x v="0"/>
    <d v="2024-04-23T00:00:00"/>
    <x v="0"/>
    <n v="15"/>
    <x v="2"/>
    <s v="Yes"/>
    <x v="0"/>
    <x v="0"/>
    <x v="0"/>
    <x v="0"/>
    <n v="3"/>
    <n v="62"/>
  </r>
  <r>
    <n v="3291"/>
    <s v="Zacarias Alves"/>
    <x v="0"/>
    <d v="2024-04-26T00:00:00"/>
    <x v="1"/>
    <n v="15"/>
    <x v="0"/>
    <s v="Yes"/>
    <x v="0"/>
    <x v="0"/>
    <x v="0"/>
    <x v="0"/>
    <n v="5"/>
    <n v="60"/>
  </r>
  <r>
    <n v="3294"/>
    <s v="Carla Bruni"/>
    <x v="0"/>
    <d v="2024-04-29T00:00:00"/>
    <x v="0"/>
    <n v="15"/>
    <x v="1"/>
    <s v="Yes"/>
    <x v="0"/>
    <x v="0"/>
    <x v="0"/>
    <x v="0"/>
    <n v="20"/>
    <n v="45"/>
  </r>
  <r>
    <n v="3297"/>
    <s v="Fábio Nobre"/>
    <x v="0"/>
    <d v="2024-05-02T00:00:00"/>
    <x v="0"/>
    <n v="15"/>
    <x v="1"/>
    <s v="Yes"/>
    <x v="0"/>
    <x v="0"/>
    <x v="0"/>
    <x v="0"/>
    <n v="7"/>
    <n v="58"/>
  </r>
  <r>
    <n v="3300"/>
    <s v="Ivan Carvalho"/>
    <x v="0"/>
    <d v="2024-05-05T00:00:00"/>
    <x v="1"/>
    <n v="15"/>
    <x v="0"/>
    <s v="Yes"/>
    <x v="0"/>
    <x v="0"/>
    <x v="0"/>
    <x v="0"/>
    <n v="15"/>
    <n v="50"/>
  </r>
  <r>
    <n v="3303"/>
    <s v="Lucas Mendes"/>
    <x v="0"/>
    <d v="2024-05-08T00:00:00"/>
    <x v="0"/>
    <n v="15"/>
    <x v="1"/>
    <s v="Yes"/>
    <x v="0"/>
    <x v="0"/>
    <x v="0"/>
    <x v="0"/>
    <n v="20"/>
    <n v="45"/>
  </r>
  <r>
    <n v="3306"/>
    <s v="Otávio Barros"/>
    <x v="0"/>
    <d v="2024-05-11T00:00:00"/>
    <x v="1"/>
    <n v="15"/>
    <x v="2"/>
    <s v="Yes"/>
    <x v="0"/>
    <x v="0"/>
    <x v="0"/>
    <x v="0"/>
    <n v="5"/>
    <n v="60"/>
  </r>
  <r>
    <n v="3309"/>
    <s v="Raquel Novaes"/>
    <x v="0"/>
    <d v="2024-05-14T00:00:00"/>
    <x v="0"/>
    <n v="15"/>
    <x v="0"/>
    <s v="Yes"/>
    <x v="0"/>
    <x v="0"/>
    <x v="0"/>
    <x v="0"/>
    <n v="3"/>
    <n v="62"/>
  </r>
  <r>
    <n v="3312"/>
    <s v="Ulysses Guimarães"/>
    <x v="0"/>
    <d v="2024-05-17T00:00:00"/>
    <x v="1"/>
    <n v="15"/>
    <x v="1"/>
    <s v="Yes"/>
    <x v="0"/>
    <x v="0"/>
    <x v="0"/>
    <x v="0"/>
    <n v="7"/>
    <n v="58"/>
  </r>
  <r>
    <n v="3315"/>
    <s v="Ximena Rocha"/>
    <x v="0"/>
    <d v="2024-05-20T00:00:00"/>
    <x v="0"/>
    <n v="15"/>
    <x v="0"/>
    <s v="Yes"/>
    <x v="0"/>
    <x v="0"/>
    <x v="0"/>
    <x v="0"/>
    <n v="20"/>
    <n v="45"/>
  </r>
  <r>
    <n v="3318"/>
    <s v="Alan Teixeira"/>
    <x v="0"/>
    <d v="2024-05-23T00:00:00"/>
    <x v="1"/>
    <n v="15"/>
    <x v="2"/>
    <s v="Yes"/>
    <x v="0"/>
    <x v="0"/>
    <x v="0"/>
    <x v="0"/>
    <n v="3"/>
    <n v="62"/>
  </r>
  <r>
    <n v="3321"/>
    <s v="Daniela Moura"/>
    <x v="0"/>
    <d v="2024-05-26T00:00:00"/>
    <x v="0"/>
    <n v="15"/>
    <x v="0"/>
    <s v="Yes"/>
    <x v="0"/>
    <x v="0"/>
    <x v="0"/>
    <x v="0"/>
    <n v="5"/>
    <n v="60"/>
  </r>
  <r>
    <n v="3324"/>
    <s v="Geraldo Ribeiro"/>
    <x v="0"/>
    <d v="2024-05-29T00:00:00"/>
    <x v="1"/>
    <n v="15"/>
    <x v="1"/>
    <s v="Yes"/>
    <x v="0"/>
    <x v="0"/>
    <x v="0"/>
    <x v="0"/>
    <n v="20"/>
    <n v="45"/>
  </r>
  <r>
    <n v="3327"/>
    <s v="João Pedro Almeida"/>
    <x v="0"/>
    <d v="2024-06-01T00:00:00"/>
    <x v="0"/>
    <n v="15"/>
    <x v="0"/>
    <s v="Yes"/>
    <x v="0"/>
    <x v="0"/>
    <x v="0"/>
    <x v="0"/>
    <n v="7"/>
    <n v="58"/>
  </r>
  <r>
    <n v="3330"/>
    <s v="Marcelo Gouveia"/>
    <x v="0"/>
    <d v="2024-06-04T00:00:00"/>
    <x v="1"/>
    <n v="15"/>
    <x v="0"/>
    <s v="Yes"/>
    <x v="0"/>
    <x v="0"/>
    <x v="0"/>
    <x v="0"/>
    <n v="15"/>
    <n v="50"/>
  </r>
  <r>
    <n v="3333"/>
    <s v="Patrícia Alves"/>
    <x v="0"/>
    <d v="2024-06-07T00:00:00"/>
    <x v="0"/>
    <n v="15"/>
    <x v="1"/>
    <s v="Yes"/>
    <x v="0"/>
    <x v="0"/>
    <x v="0"/>
    <x v="0"/>
    <n v="20"/>
    <n v="45"/>
  </r>
  <r>
    <n v="3337"/>
    <s v="Ulisses Tavares"/>
    <x v="0"/>
    <d v="2024-06-11T00:00:00"/>
    <x v="1"/>
    <n v="15"/>
    <x v="1"/>
    <s v="Yes"/>
    <x v="0"/>
    <x v="0"/>
    <x v="0"/>
    <x v="0"/>
    <n v="7"/>
    <n v="58"/>
  </r>
  <r>
    <n v="3340"/>
    <s v="Xavier Nascimento"/>
    <x v="0"/>
    <d v="2024-06-14T00:00:00"/>
    <x v="0"/>
    <n v="15"/>
    <x v="0"/>
    <s v="Yes"/>
    <x v="0"/>
    <x v="0"/>
    <x v="0"/>
    <x v="0"/>
    <n v="15"/>
    <n v="50"/>
  </r>
  <r>
    <n v="3343"/>
    <s v="Amanda Lopes"/>
    <x v="0"/>
    <d v="2024-06-17T00:00:00"/>
    <x v="1"/>
    <n v="15"/>
    <x v="1"/>
    <s v="Yes"/>
    <x v="0"/>
    <x v="0"/>
    <x v="0"/>
    <x v="0"/>
    <n v="20"/>
    <n v="45"/>
  </r>
  <r>
    <n v="3346"/>
    <s v="Diogo Souza"/>
    <x v="0"/>
    <d v="2024-06-20T00:00:00"/>
    <x v="0"/>
    <n v="15"/>
    <x v="2"/>
    <s v="Yes"/>
    <x v="0"/>
    <x v="0"/>
    <x v="0"/>
    <x v="0"/>
    <n v="5"/>
    <n v="60"/>
  </r>
  <r>
    <n v="3349"/>
    <s v="Geraldo Ribeiro"/>
    <x v="0"/>
    <d v="2024-06-23T00:00:00"/>
    <x v="1"/>
    <n v="15"/>
    <x v="0"/>
    <s v="Yes"/>
    <x v="0"/>
    <x v="0"/>
    <x v="0"/>
    <x v="0"/>
    <n v="3"/>
    <n v="62"/>
  </r>
  <r>
    <n v="3352"/>
    <s v="João Marcelo"/>
    <x v="0"/>
    <d v="2024-06-26T00:00:00"/>
    <x v="0"/>
    <n v="15"/>
    <x v="1"/>
    <s v="Yes"/>
    <x v="0"/>
    <x v="0"/>
    <x v="0"/>
    <x v="0"/>
    <n v="7"/>
    <n v="58"/>
  </r>
  <r>
    <n v="3355"/>
    <s v="Nadia Costa"/>
    <x v="0"/>
    <d v="2024-06-29T00:00:00"/>
    <x v="1"/>
    <n v="15"/>
    <x v="0"/>
    <s v="Yes"/>
    <x v="0"/>
    <x v="0"/>
    <x v="0"/>
    <x v="0"/>
    <n v="20"/>
    <n v="45"/>
  </r>
  <r>
    <n v="3358"/>
    <s v="Quênia Barros"/>
    <x v="0"/>
    <d v="2024-07-02T00:00:00"/>
    <x v="0"/>
    <n v="15"/>
    <x v="2"/>
    <s v="Yes"/>
    <x v="0"/>
    <x v="0"/>
    <x v="0"/>
    <x v="0"/>
    <n v="3"/>
    <n v="62"/>
  </r>
  <r>
    <n v="3361"/>
    <s v="Tiago Mendes"/>
    <x v="0"/>
    <d v="2024-07-05T00:00:00"/>
    <x v="1"/>
    <n v="15"/>
    <x v="0"/>
    <s v="Yes"/>
    <x v="0"/>
    <x v="0"/>
    <x v="0"/>
    <x v="0"/>
    <n v="15"/>
    <n v="50"/>
  </r>
  <r>
    <n v="3364"/>
    <s v="Waldir Junior"/>
    <x v="0"/>
    <d v="2024-07-08T00:00:00"/>
    <x v="0"/>
    <n v="15"/>
    <x v="1"/>
    <s v="Yes"/>
    <x v="0"/>
    <x v="0"/>
    <x v="0"/>
    <x v="0"/>
    <n v="7"/>
    <n v="58"/>
  </r>
  <r>
    <n v="3367"/>
    <s v="Zacarias Nunes"/>
    <x v="0"/>
    <d v="2024-07-11T00:00:00"/>
    <x v="1"/>
    <n v="15"/>
    <x v="1"/>
    <s v="Yes"/>
    <x v="0"/>
    <x v="0"/>
    <x v="0"/>
    <x v="0"/>
    <n v="7"/>
    <n v="58"/>
  </r>
  <r>
    <n v="3370"/>
    <s v="Carlos Eduardo"/>
    <x v="0"/>
    <d v="2024-07-14T00:00:00"/>
    <x v="0"/>
    <n v="15"/>
    <x v="0"/>
    <s v="Yes"/>
    <x v="0"/>
    <x v="0"/>
    <x v="0"/>
    <x v="0"/>
    <n v="15"/>
    <n v="50"/>
  </r>
  <r>
    <n v="3373"/>
    <s v="Fabiano Gomes"/>
    <x v="0"/>
    <d v="2024-07-17T00:00:00"/>
    <x v="1"/>
    <n v="15"/>
    <x v="1"/>
    <s v="Yes"/>
    <x v="0"/>
    <x v="0"/>
    <x v="0"/>
    <x v="0"/>
    <n v="20"/>
    <n v="45"/>
  </r>
  <r>
    <n v="3376"/>
    <s v="Igor Martins"/>
    <x v="0"/>
    <d v="2024-07-20T00:00:00"/>
    <x v="0"/>
    <n v="15"/>
    <x v="2"/>
    <s v="Yes"/>
    <x v="0"/>
    <x v="0"/>
    <x v="0"/>
    <x v="0"/>
    <n v="5"/>
    <n v="60"/>
  </r>
  <r>
    <n v="3379"/>
    <s v="Luciana Santos"/>
    <x v="0"/>
    <d v="2024-07-23T00:00:00"/>
    <x v="1"/>
    <n v="15"/>
    <x v="0"/>
    <s v="Yes"/>
    <x v="0"/>
    <x v="0"/>
    <x v="0"/>
    <x v="0"/>
    <n v="3"/>
    <n v="62"/>
  </r>
  <r>
    <n v="3382"/>
    <s v="Oscar Ribeiro"/>
    <x v="0"/>
    <d v="2024-07-26T00:00:00"/>
    <x v="0"/>
    <n v="15"/>
    <x v="1"/>
    <s v="Yes"/>
    <x v="0"/>
    <x v="0"/>
    <x v="0"/>
    <x v="0"/>
    <n v="7"/>
    <n v="58"/>
  </r>
  <r>
    <n v="3385"/>
    <s v="Renata Machado"/>
    <x v="0"/>
    <d v="2024-07-29T00:00:00"/>
    <x v="1"/>
    <n v="15"/>
    <x v="0"/>
    <s v="Yes"/>
    <x v="0"/>
    <x v="0"/>
    <x v="0"/>
    <x v="0"/>
    <n v="20"/>
    <n v="45"/>
  </r>
  <r>
    <n v="3388"/>
    <s v="Ulysses Pereira"/>
    <x v="0"/>
    <d v="2024-08-01T00:00:00"/>
    <x v="0"/>
    <n v="15"/>
    <x v="2"/>
    <s v="Yes"/>
    <x v="0"/>
    <x v="0"/>
    <x v="0"/>
    <x v="0"/>
    <n v="3"/>
    <n v="62"/>
  </r>
  <r>
    <n v="3391"/>
    <s v="Xuxa Meneghel"/>
    <x v="0"/>
    <d v="2024-08-04T00:00:00"/>
    <x v="1"/>
    <n v="15"/>
    <x v="0"/>
    <s v="Yes"/>
    <x v="0"/>
    <x v="0"/>
    <x v="0"/>
    <x v="0"/>
    <n v="15"/>
    <n v="50"/>
  </r>
  <r>
    <n v="3394"/>
    <s v="André Lima"/>
    <x v="0"/>
    <d v="2024-08-07T00:00:00"/>
    <x v="0"/>
    <n v="15"/>
    <x v="1"/>
    <s v="Yes"/>
    <x v="0"/>
    <x v="0"/>
    <x v="0"/>
    <x v="0"/>
    <n v="7"/>
    <n v="58"/>
  </r>
  <r>
    <n v="3397"/>
    <s v="Daniela Moura"/>
    <x v="0"/>
    <d v="2024-08-10T00:00:00"/>
    <x v="1"/>
    <n v="15"/>
    <x v="0"/>
    <s v="Yes"/>
    <x v="0"/>
    <x v="0"/>
    <x v="0"/>
    <x v="0"/>
    <n v="20"/>
    <n v="45"/>
  </r>
  <r>
    <n v="3400"/>
    <s v="Guilherme Souza"/>
    <x v="0"/>
    <d v="2024-08-13T00:00:00"/>
    <x v="0"/>
    <n v="15"/>
    <x v="2"/>
    <s v="Yes"/>
    <x v="0"/>
    <x v="0"/>
    <x v="0"/>
    <x v="0"/>
    <n v="5"/>
    <n v="60"/>
  </r>
  <r>
    <n v="3403"/>
    <s v="João Carvalho"/>
    <x v="0"/>
    <d v="2024-08-16T00:00:00"/>
    <x v="1"/>
    <n v="15"/>
    <x v="0"/>
    <s v="Yes"/>
    <x v="0"/>
    <x v="0"/>
    <x v="0"/>
    <x v="0"/>
    <n v="3"/>
    <n v="62"/>
  </r>
  <r>
    <n v="3407"/>
    <s v="Nina Pacheco"/>
    <x v="0"/>
    <d v="2024-08-20T00:00:00"/>
    <x v="1"/>
    <n v="15"/>
    <x v="1"/>
    <s v="Yes"/>
    <x v="0"/>
    <x v="0"/>
    <x v="0"/>
    <x v="0"/>
    <n v="7"/>
    <n v="58"/>
  </r>
  <r>
    <n v="3410"/>
    <s v="Raquel Domingos"/>
    <x v="0"/>
    <d v="2024-08-23T00:00:00"/>
    <x v="0"/>
    <n v="15"/>
    <x v="0"/>
    <s v="Yes"/>
    <x v="0"/>
    <x v="0"/>
    <x v="0"/>
    <x v="0"/>
    <n v="15"/>
    <n v="50"/>
  </r>
  <r>
    <n v="3413"/>
    <s v="Ulysses Farias"/>
    <x v="0"/>
    <d v="2024-08-26T00:00:00"/>
    <x v="1"/>
    <n v="15"/>
    <x v="1"/>
    <s v="Yes"/>
    <x v="0"/>
    <x v="0"/>
    <x v="0"/>
    <x v="0"/>
    <n v="20"/>
    <n v="45"/>
  </r>
  <r>
    <n v="3416"/>
    <s v="Ximena Barros"/>
    <x v="0"/>
    <d v="2024-08-29T00:00:00"/>
    <x v="0"/>
    <n v="15"/>
    <x v="2"/>
    <s v="Yes"/>
    <x v="0"/>
    <x v="0"/>
    <x v="0"/>
    <x v="0"/>
    <n v="5"/>
    <n v="60"/>
  </r>
  <r>
    <n v="3419"/>
    <s v="André Lopes"/>
    <x v="0"/>
    <d v="2024-09-01T00:00:00"/>
    <x v="1"/>
    <n v="15"/>
    <x v="0"/>
    <s v="Yes"/>
    <x v="0"/>
    <x v="0"/>
    <x v="0"/>
    <x v="0"/>
    <n v="3"/>
    <n v="62"/>
  </r>
  <r>
    <n v="3422"/>
    <s v="Daniela Araújo"/>
    <x v="0"/>
    <d v="2024-09-04T00:00:00"/>
    <x v="0"/>
    <n v="15"/>
    <x v="1"/>
    <s v="Yes"/>
    <x v="0"/>
    <x v="0"/>
    <x v="0"/>
    <x v="0"/>
    <n v="7"/>
    <n v="58"/>
  </r>
  <r>
    <n v="3425"/>
    <s v="Gabriel Teixeira"/>
    <x v="0"/>
    <d v="2024-09-07T00:00:00"/>
    <x v="1"/>
    <n v="15"/>
    <x v="0"/>
    <s v="Yes"/>
    <x v="0"/>
    <x v="0"/>
    <x v="0"/>
    <x v="0"/>
    <n v="20"/>
    <n v="45"/>
  </r>
  <r>
    <n v="3428"/>
    <s v="Joana Silveira"/>
    <x v="0"/>
    <d v="2024-09-10T00:00:00"/>
    <x v="0"/>
    <n v="15"/>
    <x v="2"/>
    <s v="Yes"/>
    <x v="0"/>
    <x v="0"/>
    <x v="0"/>
    <x v="0"/>
    <n v="3"/>
    <n v="62"/>
  </r>
  <r>
    <n v="3431"/>
    <s v="Nicolas Borges"/>
    <x v="0"/>
    <d v="2024-09-13T00:00:00"/>
    <x v="1"/>
    <n v="15"/>
    <x v="0"/>
    <s v="Yes"/>
    <x v="0"/>
    <x v="0"/>
    <x v="0"/>
    <x v="0"/>
    <n v="15"/>
    <n v="50"/>
  </r>
  <r>
    <n v="3434"/>
    <s v="Raquel Andrade"/>
    <x v="0"/>
    <d v="2024-09-16T00:00:00"/>
    <x v="0"/>
    <n v="15"/>
    <x v="1"/>
    <s v="Yes"/>
    <x v="0"/>
    <x v="0"/>
    <x v="0"/>
    <x v="0"/>
    <n v="7"/>
    <n v="58"/>
  </r>
  <r>
    <n v="3437"/>
    <s v="Ursula Monteiro"/>
    <x v="0"/>
    <d v="2024-09-19T00:00:00"/>
    <x v="1"/>
    <n v="15"/>
    <x v="1"/>
    <s v="Yes"/>
    <x v="0"/>
    <x v="0"/>
    <x v="0"/>
    <x v="0"/>
    <n v="7"/>
    <n v="58"/>
  </r>
  <r>
    <n v="3440"/>
    <s v="Xavier Almeida"/>
    <x v="0"/>
    <d v="2024-09-22T00:00:00"/>
    <x v="0"/>
    <n v="15"/>
    <x v="0"/>
    <s v="Yes"/>
    <x v="0"/>
    <x v="0"/>
    <x v="0"/>
    <x v="0"/>
    <n v="15"/>
    <n v="50"/>
  </r>
  <r>
    <n v="3443"/>
    <s v="Amanda Costa"/>
    <x v="0"/>
    <d v="2024-09-25T00:00:00"/>
    <x v="1"/>
    <n v="15"/>
    <x v="1"/>
    <s v="Yes"/>
    <x v="0"/>
    <x v="0"/>
    <x v="0"/>
    <x v="0"/>
    <n v="20"/>
    <n v="45"/>
  </r>
  <r>
    <n v="3446"/>
    <s v="Diogo Martins"/>
    <x v="0"/>
    <d v="2024-09-28T00:00:00"/>
    <x v="0"/>
    <n v="15"/>
    <x v="2"/>
    <s v="Yes"/>
    <x v="0"/>
    <x v="0"/>
    <x v="0"/>
    <x v="0"/>
    <n v="5"/>
    <n v="60"/>
  </r>
  <r>
    <n v="3449"/>
    <s v="Gabriel Santos"/>
    <x v="0"/>
    <d v="2024-10-01T00:00:00"/>
    <x v="1"/>
    <n v="15"/>
    <x v="0"/>
    <s v="Yes"/>
    <x v="0"/>
    <x v="0"/>
    <x v="0"/>
    <x v="0"/>
    <n v="3"/>
    <n v="62"/>
  </r>
  <r>
    <n v="3452"/>
    <s v="Joana Silveira"/>
    <x v="0"/>
    <d v="2024-10-04T00:00:00"/>
    <x v="0"/>
    <n v="15"/>
    <x v="1"/>
    <s v="Yes"/>
    <x v="0"/>
    <x v="0"/>
    <x v="0"/>
    <x v="0"/>
    <n v="7"/>
    <n v="58"/>
  </r>
  <r>
    <n v="3455"/>
    <s v="Marcos Vinícius"/>
    <x v="0"/>
    <d v="2024-10-07T00:00:00"/>
    <x v="1"/>
    <n v="15"/>
    <x v="0"/>
    <s v="Yes"/>
    <x v="0"/>
    <x v="0"/>
    <x v="0"/>
    <x v="0"/>
    <n v="20"/>
    <n v="45"/>
  </r>
  <r>
    <n v="3458"/>
    <s v="Patrícia Leite"/>
    <x v="0"/>
    <d v="2024-10-10T00:00:00"/>
    <x v="0"/>
    <n v="15"/>
    <x v="2"/>
    <s v="Yes"/>
    <x v="0"/>
    <x v="0"/>
    <x v="0"/>
    <x v="0"/>
    <n v="3"/>
    <n v="62"/>
  </r>
  <r>
    <n v="3461"/>
    <s v="Sandra Gouveia"/>
    <x v="0"/>
    <d v="2024-10-13T00:00:00"/>
    <x v="1"/>
    <n v="15"/>
    <x v="0"/>
    <s v="Yes"/>
    <x v="0"/>
    <x v="0"/>
    <x v="0"/>
    <x v="0"/>
    <n v="15"/>
    <n v="50"/>
  </r>
  <r>
    <n v="3464"/>
    <s v="Vanessa Andrade"/>
    <x v="0"/>
    <d v="2024-10-16T00:00:00"/>
    <x v="0"/>
    <n v="15"/>
    <x v="1"/>
    <s v="Yes"/>
    <x v="0"/>
    <x v="0"/>
    <x v="0"/>
    <x v="0"/>
    <n v="7"/>
    <n v="58"/>
  </r>
  <r>
    <n v="3467"/>
    <s v="Yasmin Figueira"/>
    <x v="0"/>
    <d v="2024-10-19T00:00:00"/>
    <x v="1"/>
    <n v="15"/>
    <x v="0"/>
    <s v="Yes"/>
    <x v="0"/>
    <x v="0"/>
    <x v="0"/>
    <x v="0"/>
    <n v="15"/>
    <n v="50"/>
  </r>
  <r>
    <n v="3470"/>
    <s v="Bruno Santos"/>
    <x v="0"/>
    <d v="2024-10-22T00:00:00"/>
    <x v="0"/>
    <n v="15"/>
    <x v="2"/>
    <s v="Yes"/>
    <x v="0"/>
    <x v="0"/>
    <x v="0"/>
    <x v="0"/>
    <n v="5"/>
    <n v="60"/>
  </r>
  <r>
    <n v="3473"/>
    <s v="Elisa Neves"/>
    <x v="0"/>
    <d v="2024-10-25T00:00:00"/>
    <x v="1"/>
    <n v="15"/>
    <x v="0"/>
    <s v="Yes"/>
    <x v="0"/>
    <x v="0"/>
    <x v="0"/>
    <x v="0"/>
    <n v="3"/>
    <n v="62"/>
  </r>
  <r>
    <n v="3476"/>
    <s v="Hélio Costa"/>
    <x v="0"/>
    <d v="2024-10-28T00:00:00"/>
    <x v="0"/>
    <n v="15"/>
    <x v="1"/>
    <s v="Yes"/>
    <x v="0"/>
    <x v="0"/>
    <x v="0"/>
    <x v="0"/>
    <n v="7"/>
    <n v="58"/>
  </r>
  <r>
    <n v="3479"/>
    <s v="Klara Silva"/>
    <x v="0"/>
    <d v="2024-10-31T00:00:00"/>
    <x v="1"/>
    <n v="15"/>
    <x v="0"/>
    <s v="Yes"/>
    <x v="0"/>
    <x v="0"/>
    <x v="0"/>
    <x v="0"/>
    <n v="20"/>
    <n v="45"/>
  </r>
  <r>
    <n v="3482"/>
    <s v="Natália Soares"/>
    <x v="0"/>
    <d v="2024-11-03T00:00:00"/>
    <x v="0"/>
    <n v="15"/>
    <x v="2"/>
    <s v="Yes"/>
    <x v="0"/>
    <x v="0"/>
    <x v="0"/>
    <x v="0"/>
    <n v="3"/>
    <n v="62"/>
  </r>
  <r>
    <n v="3485"/>
    <s v="Quirino Neto"/>
    <x v="0"/>
    <d v="2024-11-06T00:00:00"/>
    <x v="1"/>
    <n v="15"/>
    <x v="0"/>
    <s v="Yes"/>
    <x v="0"/>
    <x v="0"/>
    <x v="0"/>
    <x v="0"/>
    <n v="15"/>
    <n v="50"/>
  </r>
  <r>
    <n v="3487"/>
    <s v="Sandro Almeida"/>
    <x v="0"/>
    <d v="2024-11-08T00:00:00"/>
    <x v="1"/>
    <n v="15"/>
    <x v="1"/>
    <s v="Yes"/>
    <x v="0"/>
    <x v="0"/>
    <x v="0"/>
    <x v="0"/>
    <n v="7"/>
    <n v="58"/>
  </r>
  <r>
    <n v="3490"/>
    <s v="Valéria Lima"/>
    <x v="0"/>
    <d v="2024-11-11T00:00:00"/>
    <x v="0"/>
    <n v="15"/>
    <x v="0"/>
    <s v="Yes"/>
    <x v="0"/>
    <x v="0"/>
    <x v="0"/>
    <x v="0"/>
    <n v="15"/>
    <n v="50"/>
  </r>
  <r>
    <n v="3493"/>
    <s v="Ygor Farias"/>
    <x v="0"/>
    <d v="2024-11-14T00:00:00"/>
    <x v="1"/>
    <n v="15"/>
    <x v="1"/>
    <s v="Yes"/>
    <x v="0"/>
    <x v="0"/>
    <x v="0"/>
    <x v="0"/>
    <n v="20"/>
    <n v="45"/>
  </r>
  <r>
    <n v="3496"/>
    <s v="Bruno Costa"/>
    <x v="0"/>
    <d v="2024-11-17T00:00:00"/>
    <x v="0"/>
    <n v="15"/>
    <x v="2"/>
    <s v="Yes"/>
    <x v="0"/>
    <x v="0"/>
    <x v="0"/>
    <x v="0"/>
    <n v="5"/>
    <n v="60"/>
  </r>
  <r>
    <n v="3499"/>
    <s v="Elisa Correia"/>
    <x v="0"/>
    <d v="2024-11-20T00:00:00"/>
    <x v="1"/>
    <n v="15"/>
    <x v="0"/>
    <s v="Yes"/>
    <x v="0"/>
    <x v="0"/>
    <x v="0"/>
    <x v="0"/>
    <n v="3"/>
    <n v="62"/>
  </r>
  <r>
    <n v="3502"/>
    <s v="Henrique Gonçalves"/>
    <x v="0"/>
    <d v="2024-11-23T00:00:00"/>
    <x v="0"/>
    <n v="15"/>
    <x v="1"/>
    <s v="Yes"/>
    <x v="0"/>
    <x v="0"/>
    <x v="0"/>
    <x v="0"/>
    <n v="7"/>
    <n v="58"/>
  </r>
  <r>
    <n v="3505"/>
    <s v="Klara Fonseca"/>
    <x v="0"/>
    <d v="2024-11-26T00:00:00"/>
    <x v="1"/>
    <n v="15"/>
    <x v="0"/>
    <s v="Yes"/>
    <x v="0"/>
    <x v="0"/>
    <x v="0"/>
    <x v="0"/>
    <n v="20"/>
    <n v="45"/>
  </r>
  <r>
    <n v="3508"/>
    <s v="Natália Castro"/>
    <x v="0"/>
    <d v="2024-11-29T00:00:00"/>
    <x v="0"/>
    <n v="15"/>
    <x v="2"/>
    <s v="Yes"/>
    <x v="0"/>
    <x v="0"/>
    <x v="0"/>
    <x v="0"/>
    <n v="3"/>
    <n v="62"/>
  </r>
  <r>
    <n v="3511"/>
    <s v="Quentin Nogueira"/>
    <x v="0"/>
    <d v="2024-12-02T00:00:00"/>
    <x v="1"/>
    <n v="15"/>
    <x v="0"/>
    <s v="Yes"/>
    <x v="0"/>
    <x v="0"/>
    <x v="0"/>
    <x v="0"/>
    <n v="15"/>
    <n v="50"/>
  </r>
  <r>
    <n v="3514"/>
    <s v="Tânia Machado"/>
    <x v="0"/>
    <d v="2024-12-05T00:00:00"/>
    <x v="0"/>
    <n v="15"/>
    <x v="1"/>
    <s v="Yes"/>
    <x v="0"/>
    <x v="0"/>
    <x v="0"/>
    <x v="0"/>
    <n v="7"/>
    <n v="58"/>
  </r>
  <r>
    <n v="3517"/>
    <s v="William Carvalho"/>
    <x v="0"/>
    <d v="2024-12-08T00:00:00"/>
    <x v="1"/>
    <n v="15"/>
    <x v="0"/>
    <s v="Yes"/>
    <x v="0"/>
    <x v="0"/>
    <x v="0"/>
    <x v="0"/>
    <n v="20"/>
    <n v="45"/>
  </r>
  <r>
    <n v="3520"/>
    <s v="Zacarias Duarte"/>
    <x v="0"/>
    <d v="2024-12-11T00:00:00"/>
    <x v="0"/>
    <n v="15"/>
    <x v="2"/>
    <s v="Yes"/>
    <x v="0"/>
    <x v="0"/>
    <x v="0"/>
    <x v="0"/>
    <n v="5"/>
    <n v="60"/>
  </r>
  <r>
    <n v="3523"/>
    <s v="Carla Siqueira"/>
    <x v="0"/>
    <d v="2024-12-14T00:00:00"/>
    <x v="1"/>
    <n v="15"/>
    <x v="0"/>
    <s v="Yes"/>
    <x v="0"/>
    <x v="0"/>
    <x v="0"/>
    <x v="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434AA-D0DA-40FE-B6CA-598B9A441AD6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30:C32" firstHeaderRow="1" firstDataRow="1" firstDataCol="1" rowPageCount="1" colPageCount="1"/>
  <pivotFields count="15">
    <pivotField showAll="0"/>
    <pivotField showAll="0"/>
    <pivotField axis="axisRow" showAll="0">
      <items count="2"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2"/>
        <item x="0"/>
        <item x="1"/>
        <item t="default"/>
      </items>
    </pivotField>
    <pivotField showAll="0" countASubtotal="1"/>
    <pivotField numFmtId="44" showAll="0"/>
    <pivotField showAll="0"/>
    <pivotField dataField="1" numFmtId="44" showAll="0"/>
    <pivotField numFmtId="44" showAll="0"/>
    <pivotField numFmtId="44" showAll="0"/>
    <pivotField numFmtId="44" showAll="0"/>
    <pivotField dragToRow="0" dragToCol="0" dragToPage="0" showAll="0" defaultSubtotal="0"/>
  </pivotFields>
  <rowFields count="1">
    <field x="2"/>
  </rowFields>
  <rowItems count="2">
    <i>
      <x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3D1F7-3344-4D5E-B1A6-B79D06748EA4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19:C21" firstHeaderRow="1" firstDataRow="1" firstDataCol="1" rowPageCount="1" colPageCount="1"/>
  <pivotFields count="15">
    <pivotField showAll="0"/>
    <pivotField showAll="0"/>
    <pivotField axis="axisRow" showAll="0">
      <items count="2"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2"/>
        <item x="0"/>
        <item x="1"/>
        <item t="default"/>
      </items>
    </pivotField>
    <pivotField showAll="0" countASubtotal="1"/>
    <pivotField dataField="1" numFmtId="44" showAll="0"/>
    <pivotField showAll="0"/>
    <pivotField numFmtId="44" showAll="0"/>
    <pivotField numFmtId="44" showAll="0"/>
    <pivotField numFmtId="44" showAll="0"/>
    <pivotField numFmtId="44" showAll="0"/>
    <pivotField dragToRow="0" dragToCol="0" dragToPage="0" showAll="0" defaultSubtotal="0"/>
  </pivotFields>
  <rowFields count="1">
    <field x="2"/>
  </rowFields>
  <rowItems count="2">
    <i>
      <x/>
    </i>
    <i t="grand">
      <x/>
    </i>
  </rowItems>
  <colItems count="1">
    <i/>
  </colItems>
  <pageFields count="1">
    <pageField fld="6" hier="-1"/>
  </pageFields>
  <dataFields count="1">
    <dataField name="Soma de EA Play Season Pass_x000a_Price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24580-41B9-4D72-9EB9-FAB98841E839}" name="tbl_annual_total_sale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8:C11" firstHeaderRow="1" firstDataRow="1" firstDataCol="1" rowPageCount="1" colPageCount="1"/>
  <pivotFields count="15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2"/>
        <item x="0"/>
        <item x="1"/>
        <item t="default"/>
      </items>
    </pivotField>
    <pivotField showAll="0"/>
    <pivotField numFmtId="44" showAll="0"/>
    <pivotField showAll="0"/>
    <pivotField numFmtId="44" showAll="0"/>
    <pivotField numFmtId="44" showAll="0"/>
    <pivotField numFmtId="44" showAll="0"/>
    <pivotField dataField="1" numFmtId="44" showAll="0"/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3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83345-A2CC-4100-A405-8E52D7A8D7A6}" name="Tabela dinâ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8">
  <location ref="B50:E51" firstHeaderRow="0" firstDataRow="1" firstDataCol="0" rowPageCount="1" colPageCount="1"/>
  <pivotFields count="15">
    <pivotField showAll="0"/>
    <pivotField showAll="0"/>
    <pivotField showAll="0">
      <items count="2">
        <item x="0"/>
        <item t="default"/>
      </items>
    </pivotField>
    <pivotField numFmtId="14" showAll="0"/>
    <pivotField showAll="0"/>
    <pivotField dataField="1" numFmtId="44" showAll="0"/>
    <pivotField axis="axisPage" multipleItemSelectionAllowed="1" showAll="0">
      <items count="4">
        <item x="2"/>
        <item x="0"/>
        <item x="1"/>
        <item t="default"/>
      </items>
    </pivotField>
    <pivotField showAll="0" countASubtotal="1"/>
    <pivotField name="EA Play Season Pass sum" dataField="1" numFmtId="44" showAll="0" sumSubtotal="1">
      <items count="2">
        <item x="0"/>
        <item t="sum"/>
      </items>
    </pivotField>
    <pivotField showAll="0">
      <items count="2">
        <item x="0"/>
        <item t="default"/>
      </items>
    </pivotField>
    <pivotField dataField="1" numFmtId="44" showAll="0">
      <items count="2">
        <item x="0"/>
        <item t="default"/>
      </items>
    </pivotField>
    <pivotField dataField="1" numFmtId="44" showAll="0" sumSubtotal="1">
      <items count="2">
        <item x="0"/>
        <item t="sum"/>
      </items>
    </pivotField>
    <pivotField numFmtId="44" showAll="0"/>
    <pivotField numFmtId="44" showAl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Soma de Total Value Without Coupon" fld="11" baseField="0" baseItem="0" numFmtId="44"/>
    <dataField name="Soma de Subscription Price" fld="5" baseField="0" baseItem="0" numFmtId="44"/>
    <dataField name="Soma de Minecraft Season Pass Price" fld="10" baseField="0" baseItem="0" numFmtId="44"/>
    <dataField name="Soma de EA Play Season Pass sum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A7FEE-3529-425D-91D5-35C3E504B9D0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8">
  <location ref="B40:C41" firstHeaderRow="0" firstDataRow="1" firstDataCol="0" rowPageCount="1" colPageCount="1"/>
  <pivotFields count="15">
    <pivotField showAll="0"/>
    <pivotField showAll="0"/>
    <pivotField showAll="0">
      <items count="2"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2"/>
        <item x="0"/>
        <item x="1"/>
        <item t="default"/>
      </items>
    </pivotField>
    <pivotField showAll="0" countASubtotal="1"/>
    <pivotField numFmtId="44" showAll="0"/>
    <pivotField showAll="0"/>
    <pivotField numFmtId="44" showAll="0"/>
    <pivotField dataField="1" numFmtId="44" showAll="0" sumSubtotal="1">
      <items count="2">
        <item x="0"/>
        <item t="sum"/>
      </items>
    </pivotField>
    <pivotField numFmtId="44" showAll="0"/>
    <pivotField dataField="1" numFmtId="44" showAl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Total Value Without Coupon" fld="11" baseField="0" baseItem="0" numFmtId="44"/>
    <dataField name="Soma de Total Value" fld="13" baseField="0" baseItem="0" numFmtId="44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3BA41FC-134A-47E9-8D4F-CB799D85C61E}" sourceName="Subscription Type">
  <pivotTables>
    <pivotTable tabId="3" name="tbl_annual_total_sales"/>
    <pivotTable tabId="3" name="Tabela dinâmica1"/>
    <pivotTable tabId="3" name="Tabela dinâmica2"/>
    <pivotTable tabId="3" name="Tabela dinâmica3"/>
    <pivotTable tabId="3" name="Tabela dinâmica5"/>
  </pivotTables>
  <data>
    <tabular pivotCacheId="1765884494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25426EF-0174-4F2A-936D-3DA8C06BE994}" cache="SegmentaçãodeDados_Subscription_Type" caption="Subscription Type" style="Estilo de Segmentação de Dados 1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C26A-28CA-47F4-BB1E-CEEA6C873774}">
  <dimension ref="B3:M30"/>
  <sheetViews>
    <sheetView workbookViewId="0">
      <selection activeCell="C5" sqref="C5"/>
    </sheetView>
  </sheetViews>
  <sheetFormatPr defaultRowHeight="15" x14ac:dyDescent="0.25"/>
  <cols>
    <col min="3" max="3" width="10.42578125" bestFit="1" customWidth="1"/>
    <col min="5" max="5" width="8.42578125" bestFit="1" customWidth="1"/>
    <col min="6" max="6" width="12.85546875" bestFit="1" customWidth="1"/>
  </cols>
  <sheetData>
    <row r="3" spans="2:13" ht="20.25" thickBot="1" x14ac:dyDescent="0.35">
      <c r="B3" s="14" t="s">
        <v>123</v>
      </c>
      <c r="C3" s="14"/>
      <c r="D3" s="14"/>
      <c r="E3" s="14"/>
      <c r="F3" s="14"/>
    </row>
    <row r="4" spans="2:13" ht="15.75" thickTop="1" x14ac:dyDescent="0.25"/>
    <row r="5" spans="2:13" x14ac:dyDescent="0.25">
      <c r="B5" s="15" t="s">
        <v>124</v>
      </c>
      <c r="C5" t="s">
        <v>125</v>
      </c>
      <c r="E5" s="19" t="s">
        <v>126</v>
      </c>
      <c r="F5" t="s">
        <v>127</v>
      </c>
    </row>
    <row r="6" spans="2:13" x14ac:dyDescent="0.25">
      <c r="B6" s="16" t="s">
        <v>128</v>
      </c>
      <c r="C6" t="s">
        <v>125</v>
      </c>
    </row>
    <row r="7" spans="2:13" x14ac:dyDescent="0.25">
      <c r="B7" s="17" t="s">
        <v>129</v>
      </c>
      <c r="C7" t="s">
        <v>114</v>
      </c>
    </row>
    <row r="8" spans="2:13" x14ac:dyDescent="0.25">
      <c r="B8" s="18" t="s">
        <v>122</v>
      </c>
      <c r="C8" t="s">
        <v>114</v>
      </c>
    </row>
    <row r="12" spans="2:13" ht="20.25" thickBot="1" x14ac:dyDescent="0.35">
      <c r="B12" s="14" t="s">
        <v>115</v>
      </c>
      <c r="C12" s="14"/>
      <c r="D12" s="14"/>
      <c r="E12" s="14"/>
      <c r="F12" s="14"/>
      <c r="I12" s="14" t="s">
        <v>116</v>
      </c>
      <c r="J12" s="14"/>
      <c r="K12" s="14"/>
      <c r="L12" s="14"/>
      <c r="M12" s="14"/>
    </row>
    <row r="13" spans="2:13" ht="15.75" thickTop="1" x14ac:dyDescent="0.25">
      <c r="B13" s="20"/>
      <c r="C13" s="20"/>
      <c r="D13" s="20"/>
      <c r="E13" s="20"/>
      <c r="F13" s="20"/>
    </row>
    <row r="14" spans="2:13" x14ac:dyDescent="0.25">
      <c r="B14" s="20"/>
      <c r="C14" s="20"/>
      <c r="D14" s="20"/>
      <c r="E14" s="20"/>
      <c r="F14" s="20"/>
    </row>
    <row r="15" spans="2:13" x14ac:dyDescent="0.25">
      <c r="B15" s="20"/>
      <c r="C15" s="20"/>
      <c r="D15" s="20"/>
      <c r="E15" s="20"/>
      <c r="F15" s="20"/>
    </row>
    <row r="16" spans="2:13" x14ac:dyDescent="0.25">
      <c r="B16" s="20"/>
      <c r="C16" s="20"/>
      <c r="D16" s="20"/>
      <c r="E16" s="20"/>
      <c r="F16" s="20"/>
    </row>
    <row r="17" spans="2:6" x14ac:dyDescent="0.25">
      <c r="B17" s="20"/>
      <c r="C17" s="20"/>
      <c r="D17" s="20"/>
      <c r="E17" s="20"/>
      <c r="F17" s="20"/>
    </row>
    <row r="18" spans="2:6" x14ac:dyDescent="0.25">
      <c r="B18" s="20"/>
      <c r="C18" s="20"/>
      <c r="D18" s="20"/>
      <c r="E18" s="20"/>
      <c r="F18" s="20"/>
    </row>
    <row r="19" spans="2:6" x14ac:dyDescent="0.25">
      <c r="B19" s="20"/>
      <c r="C19" s="20"/>
      <c r="D19" s="20"/>
      <c r="E19" s="20"/>
      <c r="F19" s="20"/>
    </row>
    <row r="20" spans="2:6" x14ac:dyDescent="0.25">
      <c r="B20" s="20"/>
      <c r="C20" s="20"/>
      <c r="D20" s="20"/>
      <c r="E20" s="20"/>
      <c r="F20" s="20"/>
    </row>
    <row r="21" spans="2:6" x14ac:dyDescent="0.25">
      <c r="B21" s="20"/>
      <c r="C21" s="20"/>
      <c r="D21" s="20"/>
      <c r="E21" s="20"/>
      <c r="F21" s="20"/>
    </row>
    <row r="23" spans="2:6" x14ac:dyDescent="0.25">
      <c r="B23" s="20"/>
      <c r="C23" s="20"/>
      <c r="D23" s="20"/>
      <c r="E23" s="20"/>
      <c r="F23" s="20"/>
    </row>
    <row r="24" spans="2:6" x14ac:dyDescent="0.25">
      <c r="B24" s="20"/>
      <c r="C24" s="20"/>
      <c r="D24" s="20"/>
      <c r="E24" s="20"/>
      <c r="F24" s="20"/>
    </row>
    <row r="25" spans="2:6" x14ac:dyDescent="0.25">
      <c r="B25" s="20"/>
      <c r="C25" s="20"/>
      <c r="D25" s="20"/>
      <c r="E25" s="20"/>
      <c r="F25" s="20"/>
    </row>
    <row r="26" spans="2:6" x14ac:dyDescent="0.25">
      <c r="B26" s="20"/>
      <c r="C26" s="20"/>
      <c r="D26" s="20"/>
      <c r="E26" s="20"/>
      <c r="F26" s="20"/>
    </row>
    <row r="27" spans="2:6" x14ac:dyDescent="0.25">
      <c r="B27" s="20"/>
      <c r="C27" s="20"/>
      <c r="D27" s="20"/>
      <c r="E27" s="20"/>
      <c r="F27" s="20"/>
    </row>
    <row r="28" spans="2:6" x14ac:dyDescent="0.25">
      <c r="B28" s="20"/>
      <c r="C28" s="20"/>
      <c r="D28" s="20"/>
      <c r="E28" s="20"/>
      <c r="F28" s="20"/>
    </row>
    <row r="29" spans="2:6" x14ac:dyDescent="0.25">
      <c r="B29" s="20"/>
      <c r="C29" s="20"/>
      <c r="D29" s="20"/>
      <c r="E29" s="20"/>
      <c r="F29" s="20"/>
    </row>
    <row r="30" spans="2:6" x14ac:dyDescent="0.25">
      <c r="B30" s="20"/>
      <c r="C30" s="20"/>
      <c r="D30" s="20"/>
      <c r="E30" s="20"/>
      <c r="F30" s="20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8F38-EFD8-4D12-82FB-33954147166D}">
  <dimension ref="A1:N99"/>
  <sheetViews>
    <sheetView topLeftCell="D1" workbookViewId="0">
      <selection activeCell="C5" sqref="C5"/>
    </sheetView>
  </sheetViews>
  <sheetFormatPr defaultRowHeight="15" x14ac:dyDescent="0.25"/>
  <cols>
    <col min="1" max="14" width="21.28515625" customWidth="1"/>
  </cols>
  <sheetData>
    <row r="1" spans="1:14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138</v>
      </c>
      <c r="M1" s="2" t="s">
        <v>11</v>
      </c>
      <c r="N1" s="3" t="s">
        <v>12</v>
      </c>
    </row>
    <row r="2" spans="1:14" x14ac:dyDescent="0.25">
      <c r="A2" s="4">
        <v>3231</v>
      </c>
      <c r="B2" s="5" t="s">
        <v>13</v>
      </c>
      <c r="C2" s="5" t="s">
        <v>14</v>
      </c>
      <c r="D2" s="6">
        <v>45292</v>
      </c>
      <c r="E2" s="5" t="s">
        <v>15</v>
      </c>
      <c r="F2" s="7">
        <v>15</v>
      </c>
      <c r="G2" s="5" t="s">
        <v>16</v>
      </c>
      <c r="H2" s="5" t="s">
        <v>15</v>
      </c>
      <c r="I2" s="7">
        <v>30</v>
      </c>
      <c r="J2" s="5" t="s">
        <v>15</v>
      </c>
      <c r="K2" s="7">
        <v>20</v>
      </c>
      <c r="L2" s="7">
        <f>SUM(F2,I2,K2)</f>
        <v>65</v>
      </c>
      <c r="M2" s="7">
        <v>5</v>
      </c>
      <c r="N2" s="8">
        <v>60</v>
      </c>
    </row>
    <row r="3" spans="1:14" x14ac:dyDescent="0.25">
      <c r="A3" s="4">
        <v>3234</v>
      </c>
      <c r="B3" s="5" t="s">
        <v>17</v>
      </c>
      <c r="C3" s="5" t="s">
        <v>14</v>
      </c>
      <c r="D3" s="6">
        <v>45342</v>
      </c>
      <c r="E3" s="5" t="s">
        <v>18</v>
      </c>
      <c r="F3" s="7">
        <v>15</v>
      </c>
      <c r="G3" s="5" t="s">
        <v>16</v>
      </c>
      <c r="H3" s="5" t="s">
        <v>15</v>
      </c>
      <c r="I3" s="7">
        <v>30</v>
      </c>
      <c r="J3" s="5" t="s">
        <v>15</v>
      </c>
      <c r="K3" s="7">
        <v>20</v>
      </c>
      <c r="L3" s="7">
        <f t="shared" ref="L3:L66" si="0">SUM(F3,I3,K3)</f>
        <v>65</v>
      </c>
      <c r="M3" s="7">
        <v>3</v>
      </c>
      <c r="N3" s="8">
        <v>62</v>
      </c>
    </row>
    <row r="4" spans="1:14" x14ac:dyDescent="0.25">
      <c r="A4" s="4">
        <v>3237</v>
      </c>
      <c r="B4" s="5" t="s">
        <v>19</v>
      </c>
      <c r="C4" s="5" t="s">
        <v>14</v>
      </c>
      <c r="D4" s="6">
        <v>45354</v>
      </c>
      <c r="E4" s="5" t="s">
        <v>15</v>
      </c>
      <c r="F4" s="7">
        <v>15</v>
      </c>
      <c r="G4" s="5" t="s">
        <v>20</v>
      </c>
      <c r="H4" s="5" t="s">
        <v>15</v>
      </c>
      <c r="I4" s="7">
        <v>30</v>
      </c>
      <c r="J4" s="5" t="s">
        <v>15</v>
      </c>
      <c r="K4" s="7">
        <v>20</v>
      </c>
      <c r="L4" s="7">
        <f t="shared" si="0"/>
        <v>65</v>
      </c>
      <c r="M4" s="7">
        <v>10</v>
      </c>
      <c r="N4" s="8">
        <v>55</v>
      </c>
    </row>
    <row r="5" spans="1:14" x14ac:dyDescent="0.25">
      <c r="A5" s="4">
        <v>3239</v>
      </c>
      <c r="B5" s="5" t="s">
        <v>21</v>
      </c>
      <c r="C5" s="5" t="s">
        <v>14</v>
      </c>
      <c r="D5" s="6">
        <v>45356</v>
      </c>
      <c r="E5" s="5" t="s">
        <v>18</v>
      </c>
      <c r="F5" s="7">
        <v>15</v>
      </c>
      <c r="G5" s="5" t="s">
        <v>16</v>
      </c>
      <c r="H5" s="5" t="s">
        <v>15</v>
      </c>
      <c r="I5" s="7">
        <v>30</v>
      </c>
      <c r="J5" s="5" t="s">
        <v>15</v>
      </c>
      <c r="K5" s="7">
        <v>20</v>
      </c>
      <c r="L5" s="7">
        <f t="shared" si="0"/>
        <v>65</v>
      </c>
      <c r="M5" s="7">
        <v>5</v>
      </c>
      <c r="N5" s="8">
        <v>60</v>
      </c>
    </row>
    <row r="6" spans="1:14" x14ac:dyDescent="0.25">
      <c r="A6" s="4">
        <v>3242</v>
      </c>
      <c r="B6" s="5" t="s">
        <v>22</v>
      </c>
      <c r="C6" s="5" t="s">
        <v>14</v>
      </c>
      <c r="D6" s="6">
        <v>45359</v>
      </c>
      <c r="E6" s="5" t="s">
        <v>15</v>
      </c>
      <c r="F6" s="7">
        <v>15</v>
      </c>
      <c r="G6" s="5" t="s">
        <v>23</v>
      </c>
      <c r="H6" s="5" t="s">
        <v>15</v>
      </c>
      <c r="I6" s="7">
        <v>30</v>
      </c>
      <c r="J6" s="5" t="s">
        <v>15</v>
      </c>
      <c r="K6" s="7">
        <v>20</v>
      </c>
      <c r="L6" s="7">
        <f t="shared" si="0"/>
        <v>65</v>
      </c>
      <c r="M6" s="7">
        <v>20</v>
      </c>
      <c r="N6" s="8">
        <v>45</v>
      </c>
    </row>
    <row r="7" spans="1:14" x14ac:dyDescent="0.25">
      <c r="A7" s="4">
        <v>3245</v>
      </c>
      <c r="B7" s="5" t="s">
        <v>24</v>
      </c>
      <c r="C7" s="5" t="s">
        <v>14</v>
      </c>
      <c r="D7" s="6">
        <v>45362</v>
      </c>
      <c r="E7" s="5" t="s">
        <v>18</v>
      </c>
      <c r="F7" s="7">
        <v>15</v>
      </c>
      <c r="G7" s="5" t="s">
        <v>16</v>
      </c>
      <c r="H7" s="5" t="s">
        <v>15</v>
      </c>
      <c r="I7" s="7">
        <v>30</v>
      </c>
      <c r="J7" s="5" t="s">
        <v>15</v>
      </c>
      <c r="K7" s="7">
        <v>20</v>
      </c>
      <c r="L7" s="7">
        <f t="shared" si="0"/>
        <v>65</v>
      </c>
      <c r="M7" s="7">
        <v>8</v>
      </c>
      <c r="N7" s="8">
        <v>57</v>
      </c>
    </row>
    <row r="8" spans="1:14" x14ac:dyDescent="0.25">
      <c r="A8" s="4">
        <v>3248</v>
      </c>
      <c r="B8" s="5" t="s">
        <v>25</v>
      </c>
      <c r="C8" s="5" t="s">
        <v>14</v>
      </c>
      <c r="D8" s="6">
        <v>45365</v>
      </c>
      <c r="E8" s="5" t="s">
        <v>15</v>
      </c>
      <c r="F8" s="7">
        <v>15</v>
      </c>
      <c r="G8" s="5" t="s">
        <v>20</v>
      </c>
      <c r="H8" s="5" t="s">
        <v>15</v>
      </c>
      <c r="I8" s="7">
        <v>30</v>
      </c>
      <c r="J8" s="5" t="s">
        <v>15</v>
      </c>
      <c r="K8" s="7">
        <v>20</v>
      </c>
      <c r="L8" s="7">
        <f t="shared" si="0"/>
        <v>65</v>
      </c>
      <c r="M8" s="7">
        <v>7</v>
      </c>
      <c r="N8" s="8">
        <v>58</v>
      </c>
    </row>
    <row r="9" spans="1:14" x14ac:dyDescent="0.25">
      <c r="A9" s="4">
        <v>3251</v>
      </c>
      <c r="B9" s="5" t="s">
        <v>26</v>
      </c>
      <c r="C9" s="5" t="s">
        <v>14</v>
      </c>
      <c r="D9" s="6">
        <v>45368</v>
      </c>
      <c r="E9" s="5" t="s">
        <v>18</v>
      </c>
      <c r="F9" s="7">
        <v>15</v>
      </c>
      <c r="G9" s="5" t="s">
        <v>16</v>
      </c>
      <c r="H9" s="5" t="s">
        <v>15</v>
      </c>
      <c r="I9" s="7">
        <v>30</v>
      </c>
      <c r="J9" s="5" t="s">
        <v>15</v>
      </c>
      <c r="K9" s="7">
        <v>20</v>
      </c>
      <c r="L9" s="7">
        <f t="shared" si="0"/>
        <v>65</v>
      </c>
      <c r="M9" s="7">
        <v>3</v>
      </c>
      <c r="N9" s="8">
        <v>62</v>
      </c>
    </row>
    <row r="10" spans="1:14" x14ac:dyDescent="0.25">
      <c r="A10" s="4">
        <v>3254</v>
      </c>
      <c r="B10" s="5" t="s">
        <v>27</v>
      </c>
      <c r="C10" s="5" t="s">
        <v>14</v>
      </c>
      <c r="D10" s="6">
        <v>45371</v>
      </c>
      <c r="E10" s="5" t="s">
        <v>15</v>
      </c>
      <c r="F10" s="7">
        <v>15</v>
      </c>
      <c r="G10" s="5" t="s">
        <v>23</v>
      </c>
      <c r="H10" s="5" t="s">
        <v>15</v>
      </c>
      <c r="I10" s="7">
        <v>30</v>
      </c>
      <c r="J10" s="5" t="s">
        <v>15</v>
      </c>
      <c r="K10" s="7">
        <v>20</v>
      </c>
      <c r="L10" s="7">
        <f t="shared" si="0"/>
        <v>65</v>
      </c>
      <c r="M10" s="7">
        <v>20</v>
      </c>
      <c r="N10" s="8">
        <v>45</v>
      </c>
    </row>
    <row r="11" spans="1:14" x14ac:dyDescent="0.25">
      <c r="A11" s="4">
        <v>3257</v>
      </c>
      <c r="B11" s="5" t="s">
        <v>28</v>
      </c>
      <c r="C11" s="5" t="s">
        <v>14</v>
      </c>
      <c r="D11" s="6">
        <v>45374</v>
      </c>
      <c r="E11" s="5" t="s">
        <v>18</v>
      </c>
      <c r="F11" s="7">
        <v>15</v>
      </c>
      <c r="G11" s="5" t="s">
        <v>16</v>
      </c>
      <c r="H11" s="5" t="s">
        <v>15</v>
      </c>
      <c r="I11" s="7">
        <v>30</v>
      </c>
      <c r="J11" s="5" t="s">
        <v>15</v>
      </c>
      <c r="K11" s="7">
        <v>20</v>
      </c>
      <c r="L11" s="7">
        <f t="shared" si="0"/>
        <v>65</v>
      </c>
      <c r="M11" s="7">
        <v>5</v>
      </c>
      <c r="N11" s="8">
        <v>60</v>
      </c>
    </row>
    <row r="12" spans="1:14" x14ac:dyDescent="0.25">
      <c r="A12" s="4">
        <v>3260</v>
      </c>
      <c r="B12" s="5" t="s">
        <v>29</v>
      </c>
      <c r="C12" s="5" t="s">
        <v>14</v>
      </c>
      <c r="D12" s="6">
        <v>45377</v>
      </c>
      <c r="E12" s="5" t="s">
        <v>15</v>
      </c>
      <c r="F12" s="7">
        <v>15</v>
      </c>
      <c r="G12" s="5" t="s">
        <v>20</v>
      </c>
      <c r="H12" s="5" t="s">
        <v>15</v>
      </c>
      <c r="I12" s="7">
        <v>30</v>
      </c>
      <c r="J12" s="5" t="s">
        <v>15</v>
      </c>
      <c r="K12" s="7">
        <v>20</v>
      </c>
      <c r="L12" s="7">
        <f t="shared" si="0"/>
        <v>65</v>
      </c>
      <c r="M12" s="7">
        <v>7</v>
      </c>
      <c r="N12" s="8">
        <v>58</v>
      </c>
    </row>
    <row r="13" spans="1:14" x14ac:dyDescent="0.25">
      <c r="A13" s="4">
        <v>3263</v>
      </c>
      <c r="B13" s="5" t="s">
        <v>30</v>
      </c>
      <c r="C13" s="5" t="s">
        <v>14</v>
      </c>
      <c r="D13" s="6">
        <v>45380</v>
      </c>
      <c r="E13" s="5" t="s">
        <v>18</v>
      </c>
      <c r="F13" s="7">
        <v>15</v>
      </c>
      <c r="G13" s="5" t="s">
        <v>16</v>
      </c>
      <c r="H13" s="5" t="s">
        <v>15</v>
      </c>
      <c r="I13" s="7">
        <v>30</v>
      </c>
      <c r="J13" s="5" t="s">
        <v>15</v>
      </c>
      <c r="K13" s="7">
        <v>20</v>
      </c>
      <c r="L13" s="7">
        <f t="shared" si="0"/>
        <v>65</v>
      </c>
      <c r="M13" s="7">
        <v>3</v>
      </c>
      <c r="N13" s="8">
        <v>62</v>
      </c>
    </row>
    <row r="14" spans="1:14" x14ac:dyDescent="0.25">
      <c r="A14" s="4">
        <v>3267</v>
      </c>
      <c r="B14" s="5" t="s">
        <v>31</v>
      </c>
      <c r="C14" s="5" t="s">
        <v>14</v>
      </c>
      <c r="D14" s="6">
        <v>45384</v>
      </c>
      <c r="E14" s="5" t="s">
        <v>18</v>
      </c>
      <c r="F14" s="7">
        <v>15</v>
      </c>
      <c r="G14" s="5" t="s">
        <v>20</v>
      </c>
      <c r="H14" s="5" t="s">
        <v>15</v>
      </c>
      <c r="I14" s="7">
        <v>30</v>
      </c>
      <c r="J14" s="5" t="s">
        <v>15</v>
      </c>
      <c r="K14" s="7">
        <v>20</v>
      </c>
      <c r="L14" s="7">
        <f t="shared" si="0"/>
        <v>65</v>
      </c>
      <c r="M14" s="7">
        <v>7</v>
      </c>
      <c r="N14" s="8">
        <v>58</v>
      </c>
    </row>
    <row r="15" spans="1:14" x14ac:dyDescent="0.25">
      <c r="A15" s="4">
        <v>3270</v>
      </c>
      <c r="B15" s="5" t="s">
        <v>32</v>
      </c>
      <c r="C15" s="5" t="s">
        <v>14</v>
      </c>
      <c r="D15" s="6">
        <v>45387</v>
      </c>
      <c r="E15" s="5" t="s">
        <v>15</v>
      </c>
      <c r="F15" s="7">
        <v>15</v>
      </c>
      <c r="G15" s="5" t="s">
        <v>16</v>
      </c>
      <c r="H15" s="5" t="s">
        <v>15</v>
      </c>
      <c r="I15" s="7">
        <v>30</v>
      </c>
      <c r="J15" s="5" t="s">
        <v>15</v>
      </c>
      <c r="K15" s="7">
        <v>20</v>
      </c>
      <c r="L15" s="7">
        <f t="shared" si="0"/>
        <v>65</v>
      </c>
      <c r="M15" s="7">
        <v>15</v>
      </c>
      <c r="N15" s="8">
        <v>50</v>
      </c>
    </row>
    <row r="16" spans="1:14" x14ac:dyDescent="0.25">
      <c r="A16" s="4">
        <v>3273</v>
      </c>
      <c r="B16" s="5" t="s">
        <v>33</v>
      </c>
      <c r="C16" s="5" t="s">
        <v>14</v>
      </c>
      <c r="D16" s="6">
        <v>45390</v>
      </c>
      <c r="E16" s="5" t="s">
        <v>18</v>
      </c>
      <c r="F16" s="7">
        <v>15</v>
      </c>
      <c r="G16" s="5" t="s">
        <v>20</v>
      </c>
      <c r="H16" s="5" t="s">
        <v>15</v>
      </c>
      <c r="I16" s="7">
        <v>30</v>
      </c>
      <c r="J16" s="5" t="s">
        <v>15</v>
      </c>
      <c r="K16" s="7">
        <v>20</v>
      </c>
      <c r="L16" s="7">
        <f t="shared" si="0"/>
        <v>65</v>
      </c>
      <c r="M16" s="7">
        <v>20</v>
      </c>
      <c r="N16" s="8">
        <v>45</v>
      </c>
    </row>
    <row r="17" spans="1:14" x14ac:dyDescent="0.25">
      <c r="A17" s="4">
        <v>3276</v>
      </c>
      <c r="B17" s="5" t="s">
        <v>34</v>
      </c>
      <c r="C17" s="5" t="s">
        <v>14</v>
      </c>
      <c r="D17" s="6">
        <v>45393</v>
      </c>
      <c r="E17" s="5" t="s">
        <v>15</v>
      </c>
      <c r="F17" s="7">
        <v>15</v>
      </c>
      <c r="G17" s="5" t="s">
        <v>23</v>
      </c>
      <c r="H17" s="5" t="s">
        <v>15</v>
      </c>
      <c r="I17" s="7">
        <v>30</v>
      </c>
      <c r="J17" s="5" t="s">
        <v>15</v>
      </c>
      <c r="K17" s="7">
        <v>20</v>
      </c>
      <c r="L17" s="7">
        <f t="shared" si="0"/>
        <v>65</v>
      </c>
      <c r="M17" s="7">
        <v>5</v>
      </c>
      <c r="N17" s="8">
        <v>60</v>
      </c>
    </row>
    <row r="18" spans="1:14" x14ac:dyDescent="0.25">
      <c r="A18" s="4">
        <v>3279</v>
      </c>
      <c r="B18" s="5" t="s">
        <v>35</v>
      </c>
      <c r="C18" s="5" t="s">
        <v>14</v>
      </c>
      <c r="D18" s="6">
        <v>45396</v>
      </c>
      <c r="E18" s="5" t="s">
        <v>18</v>
      </c>
      <c r="F18" s="7">
        <v>15</v>
      </c>
      <c r="G18" s="5" t="s">
        <v>16</v>
      </c>
      <c r="H18" s="5" t="s">
        <v>15</v>
      </c>
      <c r="I18" s="7">
        <v>30</v>
      </c>
      <c r="J18" s="5" t="s">
        <v>15</v>
      </c>
      <c r="K18" s="7">
        <v>20</v>
      </c>
      <c r="L18" s="7">
        <f t="shared" si="0"/>
        <v>65</v>
      </c>
      <c r="M18" s="7">
        <v>3</v>
      </c>
      <c r="N18" s="8">
        <v>62</v>
      </c>
    </row>
    <row r="19" spans="1:14" x14ac:dyDescent="0.25">
      <c r="A19" s="4">
        <v>3282</v>
      </c>
      <c r="B19" s="5" t="s">
        <v>36</v>
      </c>
      <c r="C19" s="5" t="s">
        <v>14</v>
      </c>
      <c r="D19" s="6">
        <v>45399</v>
      </c>
      <c r="E19" s="5" t="s">
        <v>15</v>
      </c>
      <c r="F19" s="7">
        <v>15</v>
      </c>
      <c r="G19" s="5" t="s">
        <v>20</v>
      </c>
      <c r="H19" s="5" t="s">
        <v>15</v>
      </c>
      <c r="I19" s="7">
        <v>30</v>
      </c>
      <c r="J19" s="5" t="s">
        <v>15</v>
      </c>
      <c r="K19" s="7">
        <v>20</v>
      </c>
      <c r="L19" s="7">
        <f t="shared" si="0"/>
        <v>65</v>
      </c>
      <c r="M19" s="7">
        <v>7</v>
      </c>
      <c r="N19" s="8">
        <v>58</v>
      </c>
    </row>
    <row r="20" spans="1:14" x14ac:dyDescent="0.25">
      <c r="A20" s="4">
        <v>3285</v>
      </c>
      <c r="B20" s="5" t="s">
        <v>37</v>
      </c>
      <c r="C20" s="5" t="s">
        <v>14</v>
      </c>
      <c r="D20" s="6">
        <v>45402</v>
      </c>
      <c r="E20" s="5" t="s">
        <v>18</v>
      </c>
      <c r="F20" s="7">
        <v>15</v>
      </c>
      <c r="G20" s="5" t="s">
        <v>16</v>
      </c>
      <c r="H20" s="5" t="s">
        <v>15</v>
      </c>
      <c r="I20" s="7">
        <v>30</v>
      </c>
      <c r="J20" s="5" t="s">
        <v>15</v>
      </c>
      <c r="K20" s="7">
        <v>20</v>
      </c>
      <c r="L20" s="7">
        <f t="shared" si="0"/>
        <v>65</v>
      </c>
      <c r="M20" s="7">
        <v>20</v>
      </c>
      <c r="N20" s="8">
        <v>45</v>
      </c>
    </row>
    <row r="21" spans="1:14" x14ac:dyDescent="0.25">
      <c r="A21" s="4">
        <v>3288</v>
      </c>
      <c r="B21" s="5" t="s">
        <v>38</v>
      </c>
      <c r="C21" s="5" t="s">
        <v>14</v>
      </c>
      <c r="D21" s="6">
        <v>45405</v>
      </c>
      <c r="E21" s="5" t="s">
        <v>15</v>
      </c>
      <c r="F21" s="7">
        <v>15</v>
      </c>
      <c r="G21" s="5" t="s">
        <v>23</v>
      </c>
      <c r="H21" s="5" t="s">
        <v>15</v>
      </c>
      <c r="I21" s="7">
        <v>30</v>
      </c>
      <c r="J21" s="5" t="s">
        <v>15</v>
      </c>
      <c r="K21" s="7">
        <v>20</v>
      </c>
      <c r="L21" s="7">
        <f t="shared" si="0"/>
        <v>65</v>
      </c>
      <c r="M21" s="7">
        <v>3</v>
      </c>
      <c r="N21" s="8">
        <v>62</v>
      </c>
    </row>
    <row r="22" spans="1:14" x14ac:dyDescent="0.25">
      <c r="A22" s="4">
        <v>3291</v>
      </c>
      <c r="B22" s="5" t="s">
        <v>39</v>
      </c>
      <c r="C22" s="5" t="s">
        <v>14</v>
      </c>
      <c r="D22" s="6">
        <v>45408</v>
      </c>
      <c r="E22" s="5" t="s">
        <v>18</v>
      </c>
      <c r="F22" s="7">
        <v>15</v>
      </c>
      <c r="G22" s="5" t="s">
        <v>16</v>
      </c>
      <c r="H22" s="5" t="s">
        <v>15</v>
      </c>
      <c r="I22" s="7">
        <v>30</v>
      </c>
      <c r="J22" s="5" t="s">
        <v>15</v>
      </c>
      <c r="K22" s="7">
        <v>20</v>
      </c>
      <c r="L22" s="7">
        <f t="shared" si="0"/>
        <v>65</v>
      </c>
      <c r="M22" s="7">
        <v>5</v>
      </c>
      <c r="N22" s="8">
        <v>60</v>
      </c>
    </row>
    <row r="23" spans="1:14" x14ac:dyDescent="0.25">
      <c r="A23" s="4">
        <v>3294</v>
      </c>
      <c r="B23" s="5" t="s">
        <v>40</v>
      </c>
      <c r="C23" s="5" t="s">
        <v>14</v>
      </c>
      <c r="D23" s="6">
        <v>45411</v>
      </c>
      <c r="E23" s="5" t="s">
        <v>15</v>
      </c>
      <c r="F23" s="7">
        <v>15</v>
      </c>
      <c r="G23" s="5" t="s">
        <v>20</v>
      </c>
      <c r="H23" s="5" t="s">
        <v>15</v>
      </c>
      <c r="I23" s="7">
        <v>30</v>
      </c>
      <c r="J23" s="5" t="s">
        <v>15</v>
      </c>
      <c r="K23" s="7">
        <v>20</v>
      </c>
      <c r="L23" s="7">
        <f t="shared" si="0"/>
        <v>65</v>
      </c>
      <c r="M23" s="7">
        <v>20</v>
      </c>
      <c r="N23" s="8">
        <v>45</v>
      </c>
    </row>
    <row r="24" spans="1:14" x14ac:dyDescent="0.25">
      <c r="A24" s="4">
        <v>3297</v>
      </c>
      <c r="B24" s="5" t="s">
        <v>41</v>
      </c>
      <c r="C24" s="5" t="s">
        <v>14</v>
      </c>
      <c r="D24" s="6">
        <v>45414</v>
      </c>
      <c r="E24" s="5" t="s">
        <v>15</v>
      </c>
      <c r="F24" s="7">
        <v>15</v>
      </c>
      <c r="G24" s="5" t="s">
        <v>20</v>
      </c>
      <c r="H24" s="5" t="s">
        <v>15</v>
      </c>
      <c r="I24" s="7">
        <v>30</v>
      </c>
      <c r="J24" s="5" t="s">
        <v>15</v>
      </c>
      <c r="K24" s="7">
        <v>20</v>
      </c>
      <c r="L24" s="7">
        <f t="shared" si="0"/>
        <v>65</v>
      </c>
      <c r="M24" s="7">
        <v>7</v>
      </c>
      <c r="N24" s="8">
        <v>58</v>
      </c>
    </row>
    <row r="25" spans="1:14" x14ac:dyDescent="0.25">
      <c r="A25" s="4">
        <v>3300</v>
      </c>
      <c r="B25" s="5" t="s">
        <v>42</v>
      </c>
      <c r="C25" s="5" t="s">
        <v>14</v>
      </c>
      <c r="D25" s="6">
        <v>45417</v>
      </c>
      <c r="E25" s="5" t="s">
        <v>18</v>
      </c>
      <c r="F25" s="7">
        <v>15</v>
      </c>
      <c r="G25" s="5" t="s">
        <v>16</v>
      </c>
      <c r="H25" s="5" t="s">
        <v>15</v>
      </c>
      <c r="I25" s="7">
        <v>30</v>
      </c>
      <c r="J25" s="5" t="s">
        <v>15</v>
      </c>
      <c r="K25" s="7">
        <v>20</v>
      </c>
      <c r="L25" s="7">
        <f t="shared" si="0"/>
        <v>65</v>
      </c>
      <c r="M25" s="7">
        <v>15</v>
      </c>
      <c r="N25" s="8">
        <v>50</v>
      </c>
    </row>
    <row r="26" spans="1:14" x14ac:dyDescent="0.25">
      <c r="A26" s="4">
        <v>3303</v>
      </c>
      <c r="B26" s="5" t="s">
        <v>43</v>
      </c>
      <c r="C26" s="5" t="s">
        <v>14</v>
      </c>
      <c r="D26" s="6">
        <v>45420</v>
      </c>
      <c r="E26" s="5" t="s">
        <v>15</v>
      </c>
      <c r="F26" s="7">
        <v>15</v>
      </c>
      <c r="G26" s="5" t="s">
        <v>20</v>
      </c>
      <c r="H26" s="5" t="s">
        <v>15</v>
      </c>
      <c r="I26" s="7">
        <v>30</v>
      </c>
      <c r="J26" s="5" t="s">
        <v>15</v>
      </c>
      <c r="K26" s="7">
        <v>20</v>
      </c>
      <c r="L26" s="7">
        <f t="shared" si="0"/>
        <v>65</v>
      </c>
      <c r="M26" s="7">
        <v>20</v>
      </c>
      <c r="N26" s="8">
        <v>45</v>
      </c>
    </row>
    <row r="27" spans="1:14" x14ac:dyDescent="0.25">
      <c r="A27" s="4">
        <v>3306</v>
      </c>
      <c r="B27" s="5" t="s">
        <v>44</v>
      </c>
      <c r="C27" s="5" t="s">
        <v>14</v>
      </c>
      <c r="D27" s="6">
        <v>45423</v>
      </c>
      <c r="E27" s="5" t="s">
        <v>18</v>
      </c>
      <c r="F27" s="7">
        <v>15</v>
      </c>
      <c r="G27" s="5" t="s">
        <v>23</v>
      </c>
      <c r="H27" s="5" t="s">
        <v>15</v>
      </c>
      <c r="I27" s="7">
        <v>30</v>
      </c>
      <c r="J27" s="5" t="s">
        <v>15</v>
      </c>
      <c r="K27" s="7">
        <v>20</v>
      </c>
      <c r="L27" s="7">
        <f t="shared" si="0"/>
        <v>65</v>
      </c>
      <c r="M27" s="7">
        <v>5</v>
      </c>
      <c r="N27" s="8">
        <v>60</v>
      </c>
    </row>
    <row r="28" spans="1:14" x14ac:dyDescent="0.25">
      <c r="A28" s="4">
        <v>3309</v>
      </c>
      <c r="B28" s="5" t="s">
        <v>45</v>
      </c>
      <c r="C28" s="5" t="s">
        <v>14</v>
      </c>
      <c r="D28" s="6">
        <v>45426</v>
      </c>
      <c r="E28" s="5" t="s">
        <v>15</v>
      </c>
      <c r="F28" s="7">
        <v>15</v>
      </c>
      <c r="G28" s="5" t="s">
        <v>16</v>
      </c>
      <c r="H28" s="5" t="s">
        <v>15</v>
      </c>
      <c r="I28" s="7">
        <v>30</v>
      </c>
      <c r="J28" s="5" t="s">
        <v>15</v>
      </c>
      <c r="K28" s="7">
        <v>20</v>
      </c>
      <c r="L28" s="7">
        <f t="shared" si="0"/>
        <v>65</v>
      </c>
      <c r="M28" s="7">
        <v>3</v>
      </c>
      <c r="N28" s="8">
        <v>62</v>
      </c>
    </row>
    <row r="29" spans="1:14" x14ac:dyDescent="0.25">
      <c r="A29" s="4">
        <v>3312</v>
      </c>
      <c r="B29" s="5" t="s">
        <v>46</v>
      </c>
      <c r="C29" s="5" t="s">
        <v>14</v>
      </c>
      <c r="D29" s="6">
        <v>45429</v>
      </c>
      <c r="E29" s="5" t="s">
        <v>18</v>
      </c>
      <c r="F29" s="7">
        <v>15</v>
      </c>
      <c r="G29" s="5" t="s">
        <v>20</v>
      </c>
      <c r="H29" s="5" t="s">
        <v>15</v>
      </c>
      <c r="I29" s="7">
        <v>30</v>
      </c>
      <c r="J29" s="5" t="s">
        <v>15</v>
      </c>
      <c r="K29" s="7">
        <v>20</v>
      </c>
      <c r="L29" s="7">
        <f t="shared" si="0"/>
        <v>65</v>
      </c>
      <c r="M29" s="7">
        <v>7</v>
      </c>
      <c r="N29" s="8">
        <v>58</v>
      </c>
    </row>
    <row r="30" spans="1:14" x14ac:dyDescent="0.25">
      <c r="A30" s="4">
        <v>3315</v>
      </c>
      <c r="B30" s="5" t="s">
        <v>47</v>
      </c>
      <c r="C30" s="5" t="s">
        <v>14</v>
      </c>
      <c r="D30" s="6">
        <v>45432</v>
      </c>
      <c r="E30" s="5" t="s">
        <v>15</v>
      </c>
      <c r="F30" s="7">
        <v>15</v>
      </c>
      <c r="G30" s="5" t="s">
        <v>16</v>
      </c>
      <c r="H30" s="5" t="s">
        <v>15</v>
      </c>
      <c r="I30" s="7">
        <v>30</v>
      </c>
      <c r="J30" s="5" t="s">
        <v>15</v>
      </c>
      <c r="K30" s="7">
        <v>20</v>
      </c>
      <c r="L30" s="7">
        <f t="shared" si="0"/>
        <v>65</v>
      </c>
      <c r="M30" s="7">
        <v>20</v>
      </c>
      <c r="N30" s="8">
        <v>45</v>
      </c>
    </row>
    <row r="31" spans="1:14" x14ac:dyDescent="0.25">
      <c r="A31" s="4">
        <v>3318</v>
      </c>
      <c r="B31" s="5" t="s">
        <v>48</v>
      </c>
      <c r="C31" s="5" t="s">
        <v>14</v>
      </c>
      <c r="D31" s="6">
        <v>45435</v>
      </c>
      <c r="E31" s="5" t="s">
        <v>18</v>
      </c>
      <c r="F31" s="7">
        <v>15</v>
      </c>
      <c r="G31" s="5" t="s">
        <v>23</v>
      </c>
      <c r="H31" s="5" t="s">
        <v>15</v>
      </c>
      <c r="I31" s="7">
        <v>30</v>
      </c>
      <c r="J31" s="5" t="s">
        <v>15</v>
      </c>
      <c r="K31" s="7">
        <v>20</v>
      </c>
      <c r="L31" s="7">
        <f t="shared" si="0"/>
        <v>65</v>
      </c>
      <c r="M31" s="7">
        <v>3</v>
      </c>
      <c r="N31" s="8">
        <v>62</v>
      </c>
    </row>
    <row r="32" spans="1:14" x14ac:dyDescent="0.25">
      <c r="A32" s="4">
        <v>3321</v>
      </c>
      <c r="B32" s="5" t="s">
        <v>49</v>
      </c>
      <c r="C32" s="5" t="s">
        <v>14</v>
      </c>
      <c r="D32" s="6">
        <v>45438</v>
      </c>
      <c r="E32" s="5" t="s">
        <v>15</v>
      </c>
      <c r="F32" s="7">
        <v>15</v>
      </c>
      <c r="G32" s="5" t="s">
        <v>16</v>
      </c>
      <c r="H32" s="5" t="s">
        <v>15</v>
      </c>
      <c r="I32" s="7">
        <v>30</v>
      </c>
      <c r="J32" s="5" t="s">
        <v>15</v>
      </c>
      <c r="K32" s="7">
        <v>20</v>
      </c>
      <c r="L32" s="7">
        <f t="shared" si="0"/>
        <v>65</v>
      </c>
      <c r="M32" s="7">
        <v>5</v>
      </c>
      <c r="N32" s="8">
        <v>60</v>
      </c>
    </row>
    <row r="33" spans="1:14" x14ac:dyDescent="0.25">
      <c r="A33" s="4">
        <v>3324</v>
      </c>
      <c r="B33" s="5" t="s">
        <v>50</v>
      </c>
      <c r="C33" s="5" t="s">
        <v>14</v>
      </c>
      <c r="D33" s="6">
        <v>45441</v>
      </c>
      <c r="E33" s="5" t="s">
        <v>18</v>
      </c>
      <c r="F33" s="7">
        <v>15</v>
      </c>
      <c r="G33" s="5" t="s">
        <v>20</v>
      </c>
      <c r="H33" s="5" t="s">
        <v>15</v>
      </c>
      <c r="I33" s="7">
        <v>30</v>
      </c>
      <c r="J33" s="5" t="s">
        <v>15</v>
      </c>
      <c r="K33" s="7">
        <v>20</v>
      </c>
      <c r="L33" s="7">
        <f t="shared" si="0"/>
        <v>65</v>
      </c>
      <c r="M33" s="7">
        <v>20</v>
      </c>
      <c r="N33" s="8">
        <v>45</v>
      </c>
    </row>
    <row r="34" spans="1:14" x14ac:dyDescent="0.25">
      <c r="A34" s="4">
        <v>3327</v>
      </c>
      <c r="B34" s="5" t="s">
        <v>51</v>
      </c>
      <c r="C34" s="5" t="s">
        <v>14</v>
      </c>
      <c r="D34" s="6">
        <v>45444</v>
      </c>
      <c r="E34" s="5" t="s">
        <v>15</v>
      </c>
      <c r="F34" s="7">
        <v>15</v>
      </c>
      <c r="G34" s="5" t="s">
        <v>16</v>
      </c>
      <c r="H34" s="5" t="s">
        <v>15</v>
      </c>
      <c r="I34" s="7">
        <v>30</v>
      </c>
      <c r="J34" s="5" t="s">
        <v>15</v>
      </c>
      <c r="K34" s="7">
        <v>20</v>
      </c>
      <c r="L34" s="7">
        <f t="shared" si="0"/>
        <v>65</v>
      </c>
      <c r="M34" s="7">
        <v>7</v>
      </c>
      <c r="N34" s="8">
        <v>58</v>
      </c>
    </row>
    <row r="35" spans="1:14" x14ac:dyDescent="0.25">
      <c r="A35" s="4">
        <v>3330</v>
      </c>
      <c r="B35" s="5" t="s">
        <v>52</v>
      </c>
      <c r="C35" s="5" t="s">
        <v>14</v>
      </c>
      <c r="D35" s="6">
        <v>45447</v>
      </c>
      <c r="E35" s="5" t="s">
        <v>18</v>
      </c>
      <c r="F35" s="7">
        <v>15</v>
      </c>
      <c r="G35" s="5" t="s">
        <v>16</v>
      </c>
      <c r="H35" s="5" t="s">
        <v>15</v>
      </c>
      <c r="I35" s="7">
        <v>30</v>
      </c>
      <c r="J35" s="5" t="s">
        <v>15</v>
      </c>
      <c r="K35" s="7">
        <v>20</v>
      </c>
      <c r="L35" s="7">
        <f t="shared" si="0"/>
        <v>65</v>
      </c>
      <c r="M35" s="7">
        <v>15</v>
      </c>
      <c r="N35" s="8">
        <v>50</v>
      </c>
    </row>
    <row r="36" spans="1:14" x14ac:dyDescent="0.25">
      <c r="A36" s="4">
        <v>3333</v>
      </c>
      <c r="B36" s="5" t="s">
        <v>53</v>
      </c>
      <c r="C36" s="5" t="s">
        <v>14</v>
      </c>
      <c r="D36" s="6">
        <v>45450</v>
      </c>
      <c r="E36" s="5" t="s">
        <v>15</v>
      </c>
      <c r="F36" s="7">
        <v>15</v>
      </c>
      <c r="G36" s="5" t="s">
        <v>20</v>
      </c>
      <c r="H36" s="5" t="s">
        <v>15</v>
      </c>
      <c r="I36" s="7">
        <v>30</v>
      </c>
      <c r="J36" s="5" t="s">
        <v>15</v>
      </c>
      <c r="K36" s="7">
        <v>20</v>
      </c>
      <c r="L36" s="7">
        <f t="shared" si="0"/>
        <v>65</v>
      </c>
      <c r="M36" s="7">
        <v>20</v>
      </c>
      <c r="N36" s="8">
        <v>45</v>
      </c>
    </row>
    <row r="37" spans="1:14" x14ac:dyDescent="0.25">
      <c r="A37" s="4">
        <v>3337</v>
      </c>
      <c r="B37" s="5" t="s">
        <v>54</v>
      </c>
      <c r="C37" s="5" t="s">
        <v>14</v>
      </c>
      <c r="D37" s="6">
        <v>45454</v>
      </c>
      <c r="E37" s="5" t="s">
        <v>18</v>
      </c>
      <c r="F37" s="7">
        <v>15</v>
      </c>
      <c r="G37" s="5" t="s">
        <v>20</v>
      </c>
      <c r="H37" s="5" t="s">
        <v>15</v>
      </c>
      <c r="I37" s="7">
        <v>30</v>
      </c>
      <c r="J37" s="5" t="s">
        <v>15</v>
      </c>
      <c r="K37" s="7">
        <v>20</v>
      </c>
      <c r="L37" s="7">
        <f t="shared" si="0"/>
        <v>65</v>
      </c>
      <c r="M37" s="7">
        <v>7</v>
      </c>
      <c r="N37" s="8">
        <v>58</v>
      </c>
    </row>
    <row r="38" spans="1:14" x14ac:dyDescent="0.25">
      <c r="A38" s="4">
        <v>3340</v>
      </c>
      <c r="B38" s="5" t="s">
        <v>55</v>
      </c>
      <c r="C38" s="5" t="s">
        <v>14</v>
      </c>
      <c r="D38" s="6">
        <v>45457</v>
      </c>
      <c r="E38" s="5" t="s">
        <v>15</v>
      </c>
      <c r="F38" s="7">
        <v>15</v>
      </c>
      <c r="G38" s="5" t="s">
        <v>16</v>
      </c>
      <c r="H38" s="5" t="s">
        <v>15</v>
      </c>
      <c r="I38" s="7">
        <v>30</v>
      </c>
      <c r="J38" s="5" t="s">
        <v>15</v>
      </c>
      <c r="K38" s="7">
        <v>20</v>
      </c>
      <c r="L38" s="7">
        <f t="shared" si="0"/>
        <v>65</v>
      </c>
      <c r="M38" s="7">
        <v>15</v>
      </c>
      <c r="N38" s="8">
        <v>50</v>
      </c>
    </row>
    <row r="39" spans="1:14" x14ac:dyDescent="0.25">
      <c r="A39" s="4">
        <v>3343</v>
      </c>
      <c r="B39" s="5" t="s">
        <v>56</v>
      </c>
      <c r="C39" s="5" t="s">
        <v>14</v>
      </c>
      <c r="D39" s="6">
        <v>45460</v>
      </c>
      <c r="E39" s="5" t="s">
        <v>18</v>
      </c>
      <c r="F39" s="7">
        <v>15</v>
      </c>
      <c r="G39" s="5" t="s">
        <v>20</v>
      </c>
      <c r="H39" s="5" t="s">
        <v>15</v>
      </c>
      <c r="I39" s="7">
        <v>30</v>
      </c>
      <c r="J39" s="5" t="s">
        <v>15</v>
      </c>
      <c r="K39" s="7">
        <v>20</v>
      </c>
      <c r="L39" s="7">
        <f t="shared" si="0"/>
        <v>65</v>
      </c>
      <c r="M39" s="7">
        <v>20</v>
      </c>
      <c r="N39" s="8">
        <v>45</v>
      </c>
    </row>
    <row r="40" spans="1:14" x14ac:dyDescent="0.25">
      <c r="A40" s="4">
        <v>3346</v>
      </c>
      <c r="B40" s="5" t="s">
        <v>57</v>
      </c>
      <c r="C40" s="5" t="s">
        <v>14</v>
      </c>
      <c r="D40" s="6">
        <v>45463</v>
      </c>
      <c r="E40" s="5" t="s">
        <v>15</v>
      </c>
      <c r="F40" s="7">
        <v>15</v>
      </c>
      <c r="G40" s="5" t="s">
        <v>23</v>
      </c>
      <c r="H40" s="5" t="s">
        <v>15</v>
      </c>
      <c r="I40" s="7">
        <v>30</v>
      </c>
      <c r="J40" s="5" t="s">
        <v>15</v>
      </c>
      <c r="K40" s="7">
        <v>20</v>
      </c>
      <c r="L40" s="7">
        <f t="shared" si="0"/>
        <v>65</v>
      </c>
      <c r="M40" s="7">
        <v>5</v>
      </c>
      <c r="N40" s="8">
        <v>60</v>
      </c>
    </row>
    <row r="41" spans="1:14" x14ac:dyDescent="0.25">
      <c r="A41" s="4">
        <v>3349</v>
      </c>
      <c r="B41" s="5" t="s">
        <v>50</v>
      </c>
      <c r="C41" s="5" t="s">
        <v>14</v>
      </c>
      <c r="D41" s="6">
        <v>45466</v>
      </c>
      <c r="E41" s="5" t="s">
        <v>18</v>
      </c>
      <c r="F41" s="7">
        <v>15</v>
      </c>
      <c r="G41" s="5" t="s">
        <v>16</v>
      </c>
      <c r="H41" s="5" t="s">
        <v>15</v>
      </c>
      <c r="I41" s="7">
        <v>30</v>
      </c>
      <c r="J41" s="5" t="s">
        <v>15</v>
      </c>
      <c r="K41" s="7">
        <v>20</v>
      </c>
      <c r="L41" s="7">
        <f t="shared" si="0"/>
        <v>65</v>
      </c>
      <c r="M41" s="7">
        <v>3</v>
      </c>
      <c r="N41" s="8">
        <v>62</v>
      </c>
    </row>
    <row r="42" spans="1:14" x14ac:dyDescent="0.25">
      <c r="A42" s="4">
        <v>3352</v>
      </c>
      <c r="B42" s="5" t="s">
        <v>58</v>
      </c>
      <c r="C42" s="5" t="s">
        <v>14</v>
      </c>
      <c r="D42" s="6">
        <v>45469</v>
      </c>
      <c r="E42" s="5" t="s">
        <v>15</v>
      </c>
      <c r="F42" s="7">
        <v>15</v>
      </c>
      <c r="G42" s="5" t="s">
        <v>20</v>
      </c>
      <c r="H42" s="5" t="s">
        <v>15</v>
      </c>
      <c r="I42" s="7">
        <v>30</v>
      </c>
      <c r="J42" s="5" t="s">
        <v>15</v>
      </c>
      <c r="K42" s="7">
        <v>20</v>
      </c>
      <c r="L42" s="7">
        <f t="shared" si="0"/>
        <v>65</v>
      </c>
      <c r="M42" s="7">
        <v>7</v>
      </c>
      <c r="N42" s="8">
        <v>58</v>
      </c>
    </row>
    <row r="43" spans="1:14" x14ac:dyDescent="0.25">
      <c r="A43" s="4">
        <v>3355</v>
      </c>
      <c r="B43" s="5" t="s">
        <v>59</v>
      </c>
      <c r="C43" s="5" t="s">
        <v>14</v>
      </c>
      <c r="D43" s="6">
        <v>45472</v>
      </c>
      <c r="E43" s="5" t="s">
        <v>18</v>
      </c>
      <c r="F43" s="7">
        <v>15</v>
      </c>
      <c r="G43" s="5" t="s">
        <v>16</v>
      </c>
      <c r="H43" s="5" t="s">
        <v>15</v>
      </c>
      <c r="I43" s="7">
        <v>30</v>
      </c>
      <c r="J43" s="5" t="s">
        <v>15</v>
      </c>
      <c r="K43" s="7">
        <v>20</v>
      </c>
      <c r="L43" s="7">
        <f t="shared" si="0"/>
        <v>65</v>
      </c>
      <c r="M43" s="7">
        <v>20</v>
      </c>
      <c r="N43" s="8">
        <v>45</v>
      </c>
    </row>
    <row r="44" spans="1:14" x14ac:dyDescent="0.25">
      <c r="A44" s="4">
        <v>3358</v>
      </c>
      <c r="B44" s="5" t="s">
        <v>60</v>
      </c>
      <c r="C44" s="5" t="s">
        <v>14</v>
      </c>
      <c r="D44" s="6">
        <v>45475</v>
      </c>
      <c r="E44" s="5" t="s">
        <v>15</v>
      </c>
      <c r="F44" s="7">
        <v>15</v>
      </c>
      <c r="G44" s="5" t="s">
        <v>23</v>
      </c>
      <c r="H44" s="5" t="s">
        <v>15</v>
      </c>
      <c r="I44" s="7">
        <v>30</v>
      </c>
      <c r="J44" s="5" t="s">
        <v>15</v>
      </c>
      <c r="K44" s="7">
        <v>20</v>
      </c>
      <c r="L44" s="7">
        <f t="shared" si="0"/>
        <v>65</v>
      </c>
      <c r="M44" s="7">
        <v>3</v>
      </c>
      <c r="N44" s="8">
        <v>62</v>
      </c>
    </row>
    <row r="45" spans="1:14" x14ac:dyDescent="0.25">
      <c r="A45" s="4">
        <v>3361</v>
      </c>
      <c r="B45" s="5" t="s">
        <v>61</v>
      </c>
      <c r="C45" s="5" t="s">
        <v>14</v>
      </c>
      <c r="D45" s="6">
        <v>45478</v>
      </c>
      <c r="E45" s="5" t="s">
        <v>18</v>
      </c>
      <c r="F45" s="7">
        <v>15</v>
      </c>
      <c r="G45" s="5" t="s">
        <v>16</v>
      </c>
      <c r="H45" s="5" t="s">
        <v>15</v>
      </c>
      <c r="I45" s="7">
        <v>30</v>
      </c>
      <c r="J45" s="5" t="s">
        <v>15</v>
      </c>
      <c r="K45" s="7">
        <v>20</v>
      </c>
      <c r="L45" s="7">
        <f t="shared" si="0"/>
        <v>65</v>
      </c>
      <c r="M45" s="7">
        <v>15</v>
      </c>
      <c r="N45" s="8">
        <v>50</v>
      </c>
    </row>
    <row r="46" spans="1:14" x14ac:dyDescent="0.25">
      <c r="A46" s="4">
        <v>3364</v>
      </c>
      <c r="B46" s="5" t="s">
        <v>62</v>
      </c>
      <c r="C46" s="5" t="s">
        <v>14</v>
      </c>
      <c r="D46" s="6">
        <v>45481</v>
      </c>
      <c r="E46" s="5" t="s">
        <v>15</v>
      </c>
      <c r="F46" s="7">
        <v>15</v>
      </c>
      <c r="G46" s="5" t="s">
        <v>20</v>
      </c>
      <c r="H46" s="5" t="s">
        <v>15</v>
      </c>
      <c r="I46" s="7">
        <v>30</v>
      </c>
      <c r="J46" s="5" t="s">
        <v>15</v>
      </c>
      <c r="K46" s="7">
        <v>20</v>
      </c>
      <c r="L46" s="7">
        <f t="shared" si="0"/>
        <v>65</v>
      </c>
      <c r="M46" s="7">
        <v>7</v>
      </c>
      <c r="N46" s="8">
        <v>58</v>
      </c>
    </row>
    <row r="47" spans="1:14" x14ac:dyDescent="0.25">
      <c r="A47" s="4">
        <v>3367</v>
      </c>
      <c r="B47" s="5" t="s">
        <v>63</v>
      </c>
      <c r="C47" s="5" t="s">
        <v>14</v>
      </c>
      <c r="D47" s="6">
        <v>45484</v>
      </c>
      <c r="E47" s="5" t="s">
        <v>18</v>
      </c>
      <c r="F47" s="7">
        <v>15</v>
      </c>
      <c r="G47" s="5" t="s">
        <v>20</v>
      </c>
      <c r="H47" s="5" t="s">
        <v>15</v>
      </c>
      <c r="I47" s="7">
        <v>30</v>
      </c>
      <c r="J47" s="5" t="s">
        <v>15</v>
      </c>
      <c r="K47" s="7">
        <v>20</v>
      </c>
      <c r="L47" s="7">
        <f t="shared" si="0"/>
        <v>65</v>
      </c>
      <c r="M47" s="7">
        <v>7</v>
      </c>
      <c r="N47" s="8">
        <v>58</v>
      </c>
    </row>
    <row r="48" spans="1:14" x14ac:dyDescent="0.25">
      <c r="A48" s="4">
        <v>3370</v>
      </c>
      <c r="B48" s="5" t="s">
        <v>64</v>
      </c>
      <c r="C48" s="5" t="s">
        <v>14</v>
      </c>
      <c r="D48" s="6">
        <v>45487</v>
      </c>
      <c r="E48" s="5" t="s">
        <v>15</v>
      </c>
      <c r="F48" s="7">
        <v>15</v>
      </c>
      <c r="G48" s="5" t="s">
        <v>16</v>
      </c>
      <c r="H48" s="5" t="s">
        <v>15</v>
      </c>
      <c r="I48" s="7">
        <v>30</v>
      </c>
      <c r="J48" s="5" t="s">
        <v>15</v>
      </c>
      <c r="K48" s="7">
        <v>20</v>
      </c>
      <c r="L48" s="7">
        <f t="shared" si="0"/>
        <v>65</v>
      </c>
      <c r="M48" s="7">
        <v>15</v>
      </c>
      <c r="N48" s="8">
        <v>50</v>
      </c>
    </row>
    <row r="49" spans="1:14" x14ac:dyDescent="0.25">
      <c r="A49" s="4">
        <v>3373</v>
      </c>
      <c r="B49" s="5" t="s">
        <v>65</v>
      </c>
      <c r="C49" s="5" t="s">
        <v>14</v>
      </c>
      <c r="D49" s="6">
        <v>45490</v>
      </c>
      <c r="E49" s="5" t="s">
        <v>18</v>
      </c>
      <c r="F49" s="7">
        <v>15</v>
      </c>
      <c r="G49" s="5" t="s">
        <v>20</v>
      </c>
      <c r="H49" s="5" t="s">
        <v>15</v>
      </c>
      <c r="I49" s="7">
        <v>30</v>
      </c>
      <c r="J49" s="5" t="s">
        <v>15</v>
      </c>
      <c r="K49" s="7">
        <v>20</v>
      </c>
      <c r="L49" s="7">
        <f t="shared" si="0"/>
        <v>65</v>
      </c>
      <c r="M49" s="7">
        <v>20</v>
      </c>
      <c r="N49" s="8">
        <v>45</v>
      </c>
    </row>
    <row r="50" spans="1:14" x14ac:dyDescent="0.25">
      <c r="A50" s="4">
        <v>3376</v>
      </c>
      <c r="B50" s="5" t="s">
        <v>66</v>
      </c>
      <c r="C50" s="5" t="s">
        <v>14</v>
      </c>
      <c r="D50" s="6">
        <v>45493</v>
      </c>
      <c r="E50" s="5" t="s">
        <v>15</v>
      </c>
      <c r="F50" s="7">
        <v>15</v>
      </c>
      <c r="G50" s="5" t="s">
        <v>23</v>
      </c>
      <c r="H50" s="5" t="s">
        <v>15</v>
      </c>
      <c r="I50" s="7">
        <v>30</v>
      </c>
      <c r="J50" s="5" t="s">
        <v>15</v>
      </c>
      <c r="K50" s="7">
        <v>20</v>
      </c>
      <c r="L50" s="7">
        <f t="shared" si="0"/>
        <v>65</v>
      </c>
      <c r="M50" s="7">
        <v>5</v>
      </c>
      <c r="N50" s="8">
        <v>60</v>
      </c>
    </row>
    <row r="51" spans="1:14" x14ac:dyDescent="0.25">
      <c r="A51" s="4">
        <v>3379</v>
      </c>
      <c r="B51" s="5" t="s">
        <v>67</v>
      </c>
      <c r="C51" s="5" t="s">
        <v>14</v>
      </c>
      <c r="D51" s="6">
        <v>45496</v>
      </c>
      <c r="E51" s="5" t="s">
        <v>18</v>
      </c>
      <c r="F51" s="7">
        <v>15</v>
      </c>
      <c r="G51" s="5" t="s">
        <v>16</v>
      </c>
      <c r="H51" s="5" t="s">
        <v>15</v>
      </c>
      <c r="I51" s="7">
        <v>30</v>
      </c>
      <c r="J51" s="5" t="s">
        <v>15</v>
      </c>
      <c r="K51" s="7">
        <v>20</v>
      </c>
      <c r="L51" s="7">
        <f t="shared" si="0"/>
        <v>65</v>
      </c>
      <c r="M51" s="7">
        <v>3</v>
      </c>
      <c r="N51" s="8">
        <v>62</v>
      </c>
    </row>
    <row r="52" spans="1:14" x14ac:dyDescent="0.25">
      <c r="A52" s="4">
        <v>3382</v>
      </c>
      <c r="B52" s="5" t="s">
        <v>68</v>
      </c>
      <c r="C52" s="5" t="s">
        <v>14</v>
      </c>
      <c r="D52" s="6">
        <v>45499</v>
      </c>
      <c r="E52" s="5" t="s">
        <v>15</v>
      </c>
      <c r="F52" s="7">
        <v>15</v>
      </c>
      <c r="G52" s="5" t="s">
        <v>20</v>
      </c>
      <c r="H52" s="5" t="s">
        <v>15</v>
      </c>
      <c r="I52" s="7">
        <v>30</v>
      </c>
      <c r="J52" s="5" t="s">
        <v>15</v>
      </c>
      <c r="K52" s="7">
        <v>20</v>
      </c>
      <c r="L52" s="7">
        <f t="shared" si="0"/>
        <v>65</v>
      </c>
      <c r="M52" s="7">
        <v>7</v>
      </c>
      <c r="N52" s="8">
        <v>58</v>
      </c>
    </row>
    <row r="53" spans="1:14" x14ac:dyDescent="0.25">
      <c r="A53" s="4">
        <v>3385</v>
      </c>
      <c r="B53" s="5" t="s">
        <v>69</v>
      </c>
      <c r="C53" s="5" t="s">
        <v>14</v>
      </c>
      <c r="D53" s="6">
        <v>45502</v>
      </c>
      <c r="E53" s="5" t="s">
        <v>18</v>
      </c>
      <c r="F53" s="7">
        <v>15</v>
      </c>
      <c r="G53" s="5" t="s">
        <v>16</v>
      </c>
      <c r="H53" s="5" t="s">
        <v>15</v>
      </c>
      <c r="I53" s="7">
        <v>30</v>
      </c>
      <c r="J53" s="5" t="s">
        <v>15</v>
      </c>
      <c r="K53" s="7">
        <v>20</v>
      </c>
      <c r="L53" s="7">
        <f t="shared" si="0"/>
        <v>65</v>
      </c>
      <c r="M53" s="7">
        <v>20</v>
      </c>
      <c r="N53" s="8">
        <v>45</v>
      </c>
    </row>
    <row r="54" spans="1:14" x14ac:dyDescent="0.25">
      <c r="A54" s="4">
        <v>3388</v>
      </c>
      <c r="B54" s="5" t="s">
        <v>70</v>
      </c>
      <c r="C54" s="5" t="s">
        <v>14</v>
      </c>
      <c r="D54" s="6">
        <v>45505</v>
      </c>
      <c r="E54" s="5" t="s">
        <v>15</v>
      </c>
      <c r="F54" s="7">
        <v>15</v>
      </c>
      <c r="G54" s="5" t="s">
        <v>23</v>
      </c>
      <c r="H54" s="5" t="s">
        <v>15</v>
      </c>
      <c r="I54" s="7">
        <v>30</v>
      </c>
      <c r="J54" s="5" t="s">
        <v>15</v>
      </c>
      <c r="K54" s="7">
        <v>20</v>
      </c>
      <c r="L54" s="7">
        <f t="shared" si="0"/>
        <v>65</v>
      </c>
      <c r="M54" s="7">
        <v>3</v>
      </c>
      <c r="N54" s="8">
        <v>62</v>
      </c>
    </row>
    <row r="55" spans="1:14" x14ac:dyDescent="0.25">
      <c r="A55" s="4">
        <v>3391</v>
      </c>
      <c r="B55" s="5" t="s">
        <v>71</v>
      </c>
      <c r="C55" s="5" t="s">
        <v>14</v>
      </c>
      <c r="D55" s="6">
        <v>45508</v>
      </c>
      <c r="E55" s="5" t="s">
        <v>18</v>
      </c>
      <c r="F55" s="7">
        <v>15</v>
      </c>
      <c r="G55" s="5" t="s">
        <v>16</v>
      </c>
      <c r="H55" s="5" t="s">
        <v>15</v>
      </c>
      <c r="I55" s="7">
        <v>30</v>
      </c>
      <c r="J55" s="5" t="s">
        <v>15</v>
      </c>
      <c r="K55" s="7">
        <v>20</v>
      </c>
      <c r="L55" s="7">
        <f t="shared" si="0"/>
        <v>65</v>
      </c>
      <c r="M55" s="7">
        <v>15</v>
      </c>
      <c r="N55" s="8">
        <v>50</v>
      </c>
    </row>
    <row r="56" spans="1:14" x14ac:dyDescent="0.25">
      <c r="A56" s="4">
        <v>3394</v>
      </c>
      <c r="B56" s="5" t="s">
        <v>72</v>
      </c>
      <c r="C56" s="5" t="s">
        <v>14</v>
      </c>
      <c r="D56" s="6">
        <v>45511</v>
      </c>
      <c r="E56" s="5" t="s">
        <v>15</v>
      </c>
      <c r="F56" s="7">
        <v>15</v>
      </c>
      <c r="G56" s="5" t="s">
        <v>20</v>
      </c>
      <c r="H56" s="5" t="s">
        <v>15</v>
      </c>
      <c r="I56" s="7">
        <v>30</v>
      </c>
      <c r="J56" s="5" t="s">
        <v>15</v>
      </c>
      <c r="K56" s="7">
        <v>20</v>
      </c>
      <c r="L56" s="7">
        <f t="shared" si="0"/>
        <v>65</v>
      </c>
      <c r="M56" s="7">
        <v>7</v>
      </c>
      <c r="N56" s="8">
        <v>58</v>
      </c>
    </row>
    <row r="57" spans="1:14" x14ac:dyDescent="0.25">
      <c r="A57" s="4">
        <v>3397</v>
      </c>
      <c r="B57" s="5" t="s">
        <v>49</v>
      </c>
      <c r="C57" s="5" t="s">
        <v>14</v>
      </c>
      <c r="D57" s="6">
        <v>45514</v>
      </c>
      <c r="E57" s="5" t="s">
        <v>18</v>
      </c>
      <c r="F57" s="7">
        <v>15</v>
      </c>
      <c r="G57" s="5" t="s">
        <v>16</v>
      </c>
      <c r="H57" s="5" t="s">
        <v>15</v>
      </c>
      <c r="I57" s="7">
        <v>30</v>
      </c>
      <c r="J57" s="5" t="s">
        <v>15</v>
      </c>
      <c r="K57" s="7">
        <v>20</v>
      </c>
      <c r="L57" s="7">
        <f t="shared" si="0"/>
        <v>65</v>
      </c>
      <c r="M57" s="7">
        <v>20</v>
      </c>
      <c r="N57" s="8">
        <v>45</v>
      </c>
    </row>
    <row r="58" spans="1:14" x14ac:dyDescent="0.25">
      <c r="A58" s="4">
        <v>3400</v>
      </c>
      <c r="B58" s="5" t="s">
        <v>73</v>
      </c>
      <c r="C58" s="5" t="s">
        <v>14</v>
      </c>
      <c r="D58" s="6">
        <v>45517</v>
      </c>
      <c r="E58" s="5" t="s">
        <v>15</v>
      </c>
      <c r="F58" s="7">
        <v>15</v>
      </c>
      <c r="G58" s="5" t="s">
        <v>23</v>
      </c>
      <c r="H58" s="5" t="s">
        <v>15</v>
      </c>
      <c r="I58" s="7">
        <v>30</v>
      </c>
      <c r="J58" s="5" t="s">
        <v>15</v>
      </c>
      <c r="K58" s="7">
        <v>20</v>
      </c>
      <c r="L58" s="7">
        <f t="shared" si="0"/>
        <v>65</v>
      </c>
      <c r="M58" s="7">
        <v>5</v>
      </c>
      <c r="N58" s="8">
        <v>60</v>
      </c>
    </row>
    <row r="59" spans="1:14" x14ac:dyDescent="0.25">
      <c r="A59" s="4">
        <v>3403</v>
      </c>
      <c r="B59" s="5" t="s">
        <v>74</v>
      </c>
      <c r="C59" s="5" t="s">
        <v>14</v>
      </c>
      <c r="D59" s="6">
        <v>45520</v>
      </c>
      <c r="E59" s="5" t="s">
        <v>18</v>
      </c>
      <c r="F59" s="7">
        <v>15</v>
      </c>
      <c r="G59" s="5" t="s">
        <v>16</v>
      </c>
      <c r="H59" s="5" t="s">
        <v>15</v>
      </c>
      <c r="I59" s="7">
        <v>30</v>
      </c>
      <c r="J59" s="5" t="s">
        <v>15</v>
      </c>
      <c r="K59" s="7">
        <v>20</v>
      </c>
      <c r="L59" s="7">
        <f t="shared" si="0"/>
        <v>65</v>
      </c>
      <c r="M59" s="7">
        <v>3</v>
      </c>
      <c r="N59" s="8">
        <v>62</v>
      </c>
    </row>
    <row r="60" spans="1:14" x14ac:dyDescent="0.25">
      <c r="A60" s="4">
        <v>3407</v>
      </c>
      <c r="B60" s="5" t="s">
        <v>75</v>
      </c>
      <c r="C60" s="5" t="s">
        <v>14</v>
      </c>
      <c r="D60" s="6">
        <v>45524</v>
      </c>
      <c r="E60" s="5" t="s">
        <v>18</v>
      </c>
      <c r="F60" s="7">
        <v>15</v>
      </c>
      <c r="G60" s="5" t="s">
        <v>20</v>
      </c>
      <c r="H60" s="5" t="s">
        <v>15</v>
      </c>
      <c r="I60" s="7">
        <v>30</v>
      </c>
      <c r="J60" s="5" t="s">
        <v>15</v>
      </c>
      <c r="K60" s="7">
        <v>20</v>
      </c>
      <c r="L60" s="7">
        <f t="shared" si="0"/>
        <v>65</v>
      </c>
      <c r="M60" s="7">
        <v>7</v>
      </c>
      <c r="N60" s="8">
        <v>58</v>
      </c>
    </row>
    <row r="61" spans="1:14" x14ac:dyDescent="0.25">
      <c r="A61" s="4">
        <v>3410</v>
      </c>
      <c r="B61" s="5" t="s">
        <v>76</v>
      </c>
      <c r="C61" s="5" t="s">
        <v>14</v>
      </c>
      <c r="D61" s="6">
        <v>45527</v>
      </c>
      <c r="E61" s="5" t="s">
        <v>15</v>
      </c>
      <c r="F61" s="7">
        <v>15</v>
      </c>
      <c r="G61" s="5" t="s">
        <v>16</v>
      </c>
      <c r="H61" s="5" t="s">
        <v>15</v>
      </c>
      <c r="I61" s="7">
        <v>30</v>
      </c>
      <c r="J61" s="5" t="s">
        <v>15</v>
      </c>
      <c r="K61" s="7">
        <v>20</v>
      </c>
      <c r="L61" s="7">
        <f t="shared" si="0"/>
        <v>65</v>
      </c>
      <c r="M61" s="7">
        <v>15</v>
      </c>
      <c r="N61" s="8">
        <v>50</v>
      </c>
    </row>
    <row r="62" spans="1:14" x14ac:dyDescent="0.25">
      <c r="A62" s="4">
        <v>3413</v>
      </c>
      <c r="B62" s="5" t="s">
        <v>77</v>
      </c>
      <c r="C62" s="5" t="s">
        <v>14</v>
      </c>
      <c r="D62" s="6">
        <v>45530</v>
      </c>
      <c r="E62" s="5" t="s">
        <v>18</v>
      </c>
      <c r="F62" s="7">
        <v>15</v>
      </c>
      <c r="G62" s="5" t="s">
        <v>20</v>
      </c>
      <c r="H62" s="5" t="s">
        <v>15</v>
      </c>
      <c r="I62" s="7">
        <v>30</v>
      </c>
      <c r="J62" s="5" t="s">
        <v>15</v>
      </c>
      <c r="K62" s="7">
        <v>20</v>
      </c>
      <c r="L62" s="7">
        <f t="shared" si="0"/>
        <v>65</v>
      </c>
      <c r="M62" s="7">
        <v>20</v>
      </c>
      <c r="N62" s="8">
        <v>45</v>
      </c>
    </row>
    <row r="63" spans="1:14" x14ac:dyDescent="0.25">
      <c r="A63" s="4">
        <v>3416</v>
      </c>
      <c r="B63" s="5" t="s">
        <v>78</v>
      </c>
      <c r="C63" s="5" t="s">
        <v>14</v>
      </c>
      <c r="D63" s="6">
        <v>45533</v>
      </c>
      <c r="E63" s="5" t="s">
        <v>15</v>
      </c>
      <c r="F63" s="7">
        <v>15</v>
      </c>
      <c r="G63" s="5" t="s">
        <v>23</v>
      </c>
      <c r="H63" s="5" t="s">
        <v>15</v>
      </c>
      <c r="I63" s="7">
        <v>30</v>
      </c>
      <c r="J63" s="5" t="s">
        <v>15</v>
      </c>
      <c r="K63" s="7">
        <v>20</v>
      </c>
      <c r="L63" s="7">
        <f t="shared" si="0"/>
        <v>65</v>
      </c>
      <c r="M63" s="7">
        <v>5</v>
      </c>
      <c r="N63" s="8">
        <v>60</v>
      </c>
    </row>
    <row r="64" spans="1:14" x14ac:dyDescent="0.25">
      <c r="A64" s="4">
        <v>3419</v>
      </c>
      <c r="B64" s="5" t="s">
        <v>79</v>
      </c>
      <c r="C64" s="5" t="s">
        <v>14</v>
      </c>
      <c r="D64" s="6">
        <v>45536</v>
      </c>
      <c r="E64" s="5" t="s">
        <v>18</v>
      </c>
      <c r="F64" s="7">
        <v>15</v>
      </c>
      <c r="G64" s="5" t="s">
        <v>16</v>
      </c>
      <c r="H64" s="5" t="s">
        <v>15</v>
      </c>
      <c r="I64" s="7">
        <v>30</v>
      </c>
      <c r="J64" s="5" t="s">
        <v>15</v>
      </c>
      <c r="K64" s="7">
        <v>20</v>
      </c>
      <c r="L64" s="7">
        <f t="shared" si="0"/>
        <v>65</v>
      </c>
      <c r="M64" s="7">
        <v>3</v>
      </c>
      <c r="N64" s="8">
        <v>62</v>
      </c>
    </row>
    <row r="65" spans="1:14" x14ac:dyDescent="0.25">
      <c r="A65" s="4">
        <v>3422</v>
      </c>
      <c r="B65" s="5" t="s">
        <v>80</v>
      </c>
      <c r="C65" s="5" t="s">
        <v>14</v>
      </c>
      <c r="D65" s="6">
        <v>45539</v>
      </c>
      <c r="E65" s="5" t="s">
        <v>15</v>
      </c>
      <c r="F65" s="7">
        <v>15</v>
      </c>
      <c r="G65" s="5" t="s">
        <v>20</v>
      </c>
      <c r="H65" s="5" t="s">
        <v>15</v>
      </c>
      <c r="I65" s="7">
        <v>30</v>
      </c>
      <c r="J65" s="5" t="s">
        <v>15</v>
      </c>
      <c r="K65" s="7">
        <v>20</v>
      </c>
      <c r="L65" s="7">
        <f t="shared" si="0"/>
        <v>65</v>
      </c>
      <c r="M65" s="7">
        <v>7</v>
      </c>
      <c r="N65" s="8">
        <v>58</v>
      </c>
    </row>
    <row r="66" spans="1:14" x14ac:dyDescent="0.25">
      <c r="A66" s="4">
        <v>3425</v>
      </c>
      <c r="B66" s="5" t="s">
        <v>81</v>
      </c>
      <c r="C66" s="5" t="s">
        <v>14</v>
      </c>
      <c r="D66" s="6">
        <v>45542</v>
      </c>
      <c r="E66" s="5" t="s">
        <v>18</v>
      </c>
      <c r="F66" s="7">
        <v>15</v>
      </c>
      <c r="G66" s="5" t="s">
        <v>16</v>
      </c>
      <c r="H66" s="5" t="s">
        <v>15</v>
      </c>
      <c r="I66" s="7">
        <v>30</v>
      </c>
      <c r="J66" s="5" t="s">
        <v>15</v>
      </c>
      <c r="K66" s="7">
        <v>20</v>
      </c>
      <c r="L66" s="7">
        <f t="shared" si="0"/>
        <v>65</v>
      </c>
      <c r="M66" s="7">
        <v>20</v>
      </c>
      <c r="N66" s="8">
        <v>45</v>
      </c>
    </row>
    <row r="67" spans="1:14" x14ac:dyDescent="0.25">
      <c r="A67" s="4">
        <v>3428</v>
      </c>
      <c r="B67" s="5" t="s">
        <v>82</v>
      </c>
      <c r="C67" s="5" t="s">
        <v>14</v>
      </c>
      <c r="D67" s="6">
        <v>45545</v>
      </c>
      <c r="E67" s="5" t="s">
        <v>15</v>
      </c>
      <c r="F67" s="7">
        <v>15</v>
      </c>
      <c r="G67" s="5" t="s">
        <v>23</v>
      </c>
      <c r="H67" s="5" t="s">
        <v>15</v>
      </c>
      <c r="I67" s="7">
        <v>30</v>
      </c>
      <c r="J67" s="5" t="s">
        <v>15</v>
      </c>
      <c r="K67" s="7">
        <v>20</v>
      </c>
      <c r="L67" s="7">
        <f t="shared" ref="L67:L99" si="1">SUM(F67,I67,K67)</f>
        <v>65</v>
      </c>
      <c r="M67" s="7">
        <v>3</v>
      </c>
      <c r="N67" s="8">
        <v>62</v>
      </c>
    </row>
    <row r="68" spans="1:14" x14ac:dyDescent="0.25">
      <c r="A68" s="4">
        <v>3431</v>
      </c>
      <c r="B68" s="5" t="s">
        <v>83</v>
      </c>
      <c r="C68" s="5" t="s">
        <v>14</v>
      </c>
      <c r="D68" s="6">
        <v>45548</v>
      </c>
      <c r="E68" s="5" t="s">
        <v>18</v>
      </c>
      <c r="F68" s="7">
        <v>15</v>
      </c>
      <c r="G68" s="5" t="s">
        <v>16</v>
      </c>
      <c r="H68" s="5" t="s">
        <v>15</v>
      </c>
      <c r="I68" s="7">
        <v>30</v>
      </c>
      <c r="J68" s="5" t="s">
        <v>15</v>
      </c>
      <c r="K68" s="7">
        <v>20</v>
      </c>
      <c r="L68" s="7">
        <f t="shared" si="1"/>
        <v>65</v>
      </c>
      <c r="M68" s="7">
        <v>15</v>
      </c>
      <c r="N68" s="8">
        <v>50</v>
      </c>
    </row>
    <row r="69" spans="1:14" x14ac:dyDescent="0.25">
      <c r="A69" s="4">
        <v>3434</v>
      </c>
      <c r="B69" s="5" t="s">
        <v>84</v>
      </c>
      <c r="C69" s="5" t="s">
        <v>14</v>
      </c>
      <c r="D69" s="6">
        <v>45551</v>
      </c>
      <c r="E69" s="5" t="s">
        <v>15</v>
      </c>
      <c r="F69" s="7">
        <v>15</v>
      </c>
      <c r="G69" s="5" t="s">
        <v>20</v>
      </c>
      <c r="H69" s="5" t="s">
        <v>15</v>
      </c>
      <c r="I69" s="7">
        <v>30</v>
      </c>
      <c r="J69" s="5" t="s">
        <v>15</v>
      </c>
      <c r="K69" s="7">
        <v>20</v>
      </c>
      <c r="L69" s="7">
        <f t="shared" si="1"/>
        <v>65</v>
      </c>
      <c r="M69" s="7">
        <v>7</v>
      </c>
      <c r="N69" s="8">
        <v>58</v>
      </c>
    </row>
    <row r="70" spans="1:14" x14ac:dyDescent="0.25">
      <c r="A70" s="4">
        <v>3437</v>
      </c>
      <c r="B70" s="5" t="s">
        <v>85</v>
      </c>
      <c r="C70" s="5" t="s">
        <v>14</v>
      </c>
      <c r="D70" s="6">
        <v>45554</v>
      </c>
      <c r="E70" s="5" t="s">
        <v>18</v>
      </c>
      <c r="F70" s="7">
        <v>15</v>
      </c>
      <c r="G70" s="5" t="s">
        <v>20</v>
      </c>
      <c r="H70" s="5" t="s">
        <v>15</v>
      </c>
      <c r="I70" s="7">
        <v>30</v>
      </c>
      <c r="J70" s="5" t="s">
        <v>15</v>
      </c>
      <c r="K70" s="7">
        <v>20</v>
      </c>
      <c r="L70" s="7">
        <f t="shared" si="1"/>
        <v>65</v>
      </c>
      <c r="M70" s="7">
        <v>7</v>
      </c>
      <c r="N70" s="8">
        <v>58</v>
      </c>
    </row>
    <row r="71" spans="1:14" x14ac:dyDescent="0.25">
      <c r="A71" s="4">
        <v>3440</v>
      </c>
      <c r="B71" s="5" t="s">
        <v>86</v>
      </c>
      <c r="C71" s="5" t="s">
        <v>14</v>
      </c>
      <c r="D71" s="6">
        <v>45557</v>
      </c>
      <c r="E71" s="5" t="s">
        <v>15</v>
      </c>
      <c r="F71" s="7">
        <v>15</v>
      </c>
      <c r="G71" s="5" t="s">
        <v>16</v>
      </c>
      <c r="H71" s="5" t="s">
        <v>15</v>
      </c>
      <c r="I71" s="7">
        <v>30</v>
      </c>
      <c r="J71" s="5" t="s">
        <v>15</v>
      </c>
      <c r="K71" s="7">
        <v>20</v>
      </c>
      <c r="L71" s="7">
        <f t="shared" si="1"/>
        <v>65</v>
      </c>
      <c r="M71" s="7">
        <v>15</v>
      </c>
      <c r="N71" s="8">
        <v>50</v>
      </c>
    </row>
    <row r="72" spans="1:14" x14ac:dyDescent="0.25">
      <c r="A72" s="4">
        <v>3443</v>
      </c>
      <c r="B72" s="5" t="s">
        <v>87</v>
      </c>
      <c r="C72" s="5" t="s">
        <v>14</v>
      </c>
      <c r="D72" s="6">
        <v>45560</v>
      </c>
      <c r="E72" s="5" t="s">
        <v>18</v>
      </c>
      <c r="F72" s="7">
        <v>15</v>
      </c>
      <c r="G72" s="5" t="s">
        <v>20</v>
      </c>
      <c r="H72" s="5" t="s">
        <v>15</v>
      </c>
      <c r="I72" s="7">
        <v>30</v>
      </c>
      <c r="J72" s="5" t="s">
        <v>15</v>
      </c>
      <c r="K72" s="7">
        <v>20</v>
      </c>
      <c r="L72" s="7">
        <f t="shared" si="1"/>
        <v>65</v>
      </c>
      <c r="M72" s="7">
        <v>20</v>
      </c>
      <c r="N72" s="8">
        <v>45</v>
      </c>
    </row>
    <row r="73" spans="1:14" x14ac:dyDescent="0.25">
      <c r="A73" s="4">
        <v>3446</v>
      </c>
      <c r="B73" s="5" t="s">
        <v>88</v>
      </c>
      <c r="C73" s="5" t="s">
        <v>14</v>
      </c>
      <c r="D73" s="6">
        <v>45563</v>
      </c>
      <c r="E73" s="5" t="s">
        <v>15</v>
      </c>
      <c r="F73" s="7">
        <v>15</v>
      </c>
      <c r="G73" s="5" t="s">
        <v>23</v>
      </c>
      <c r="H73" s="5" t="s">
        <v>15</v>
      </c>
      <c r="I73" s="7">
        <v>30</v>
      </c>
      <c r="J73" s="5" t="s">
        <v>15</v>
      </c>
      <c r="K73" s="7">
        <v>20</v>
      </c>
      <c r="L73" s="7">
        <f t="shared" si="1"/>
        <v>65</v>
      </c>
      <c r="M73" s="7">
        <v>5</v>
      </c>
      <c r="N73" s="8">
        <v>60</v>
      </c>
    </row>
    <row r="74" spans="1:14" x14ac:dyDescent="0.25">
      <c r="A74" s="4">
        <v>3449</v>
      </c>
      <c r="B74" s="5" t="s">
        <v>89</v>
      </c>
      <c r="C74" s="5" t="s">
        <v>14</v>
      </c>
      <c r="D74" s="6">
        <v>45566</v>
      </c>
      <c r="E74" s="5" t="s">
        <v>18</v>
      </c>
      <c r="F74" s="7">
        <v>15</v>
      </c>
      <c r="G74" s="5" t="s">
        <v>16</v>
      </c>
      <c r="H74" s="5" t="s">
        <v>15</v>
      </c>
      <c r="I74" s="7">
        <v>30</v>
      </c>
      <c r="J74" s="5" t="s">
        <v>15</v>
      </c>
      <c r="K74" s="7">
        <v>20</v>
      </c>
      <c r="L74" s="7">
        <f t="shared" si="1"/>
        <v>65</v>
      </c>
      <c r="M74" s="7">
        <v>3</v>
      </c>
      <c r="N74" s="8">
        <v>62</v>
      </c>
    </row>
    <row r="75" spans="1:14" x14ac:dyDescent="0.25">
      <c r="A75" s="4">
        <v>3452</v>
      </c>
      <c r="B75" s="5" t="s">
        <v>82</v>
      </c>
      <c r="C75" s="5" t="s">
        <v>14</v>
      </c>
      <c r="D75" s="6">
        <v>45569</v>
      </c>
      <c r="E75" s="5" t="s">
        <v>15</v>
      </c>
      <c r="F75" s="7">
        <v>15</v>
      </c>
      <c r="G75" s="5" t="s">
        <v>20</v>
      </c>
      <c r="H75" s="5" t="s">
        <v>15</v>
      </c>
      <c r="I75" s="7">
        <v>30</v>
      </c>
      <c r="J75" s="5" t="s">
        <v>15</v>
      </c>
      <c r="K75" s="7">
        <v>20</v>
      </c>
      <c r="L75" s="7">
        <f t="shared" si="1"/>
        <v>65</v>
      </c>
      <c r="M75" s="7">
        <v>7</v>
      </c>
      <c r="N75" s="8">
        <v>58</v>
      </c>
    </row>
    <row r="76" spans="1:14" x14ac:dyDescent="0.25">
      <c r="A76" s="4">
        <v>3455</v>
      </c>
      <c r="B76" s="5" t="s">
        <v>90</v>
      </c>
      <c r="C76" s="5" t="s">
        <v>14</v>
      </c>
      <c r="D76" s="6">
        <v>45572</v>
      </c>
      <c r="E76" s="5" t="s">
        <v>18</v>
      </c>
      <c r="F76" s="7">
        <v>15</v>
      </c>
      <c r="G76" s="5" t="s">
        <v>16</v>
      </c>
      <c r="H76" s="5" t="s">
        <v>15</v>
      </c>
      <c r="I76" s="7">
        <v>30</v>
      </c>
      <c r="J76" s="5" t="s">
        <v>15</v>
      </c>
      <c r="K76" s="7">
        <v>20</v>
      </c>
      <c r="L76" s="7">
        <f t="shared" si="1"/>
        <v>65</v>
      </c>
      <c r="M76" s="7">
        <v>20</v>
      </c>
      <c r="N76" s="8">
        <v>45</v>
      </c>
    </row>
    <row r="77" spans="1:14" x14ac:dyDescent="0.25">
      <c r="A77" s="4">
        <v>3458</v>
      </c>
      <c r="B77" s="5" t="s">
        <v>91</v>
      </c>
      <c r="C77" s="5" t="s">
        <v>14</v>
      </c>
      <c r="D77" s="6">
        <v>45575</v>
      </c>
      <c r="E77" s="5" t="s">
        <v>15</v>
      </c>
      <c r="F77" s="7">
        <v>15</v>
      </c>
      <c r="G77" s="5" t="s">
        <v>23</v>
      </c>
      <c r="H77" s="5" t="s">
        <v>15</v>
      </c>
      <c r="I77" s="7">
        <v>30</v>
      </c>
      <c r="J77" s="5" t="s">
        <v>15</v>
      </c>
      <c r="K77" s="7">
        <v>20</v>
      </c>
      <c r="L77" s="7">
        <f t="shared" si="1"/>
        <v>65</v>
      </c>
      <c r="M77" s="7">
        <v>3</v>
      </c>
      <c r="N77" s="8">
        <v>62</v>
      </c>
    </row>
    <row r="78" spans="1:14" x14ac:dyDescent="0.25">
      <c r="A78" s="4">
        <v>3461</v>
      </c>
      <c r="B78" s="5" t="s">
        <v>92</v>
      </c>
      <c r="C78" s="5" t="s">
        <v>14</v>
      </c>
      <c r="D78" s="6">
        <v>45578</v>
      </c>
      <c r="E78" s="5" t="s">
        <v>18</v>
      </c>
      <c r="F78" s="7">
        <v>15</v>
      </c>
      <c r="G78" s="5" t="s">
        <v>16</v>
      </c>
      <c r="H78" s="5" t="s">
        <v>15</v>
      </c>
      <c r="I78" s="7">
        <v>30</v>
      </c>
      <c r="J78" s="5" t="s">
        <v>15</v>
      </c>
      <c r="K78" s="7">
        <v>20</v>
      </c>
      <c r="L78" s="7">
        <f t="shared" si="1"/>
        <v>65</v>
      </c>
      <c r="M78" s="7">
        <v>15</v>
      </c>
      <c r="N78" s="8">
        <v>50</v>
      </c>
    </row>
    <row r="79" spans="1:14" x14ac:dyDescent="0.25">
      <c r="A79" s="4">
        <v>3464</v>
      </c>
      <c r="B79" s="5" t="s">
        <v>93</v>
      </c>
      <c r="C79" s="5" t="s">
        <v>14</v>
      </c>
      <c r="D79" s="6">
        <v>45581</v>
      </c>
      <c r="E79" s="5" t="s">
        <v>15</v>
      </c>
      <c r="F79" s="7">
        <v>15</v>
      </c>
      <c r="G79" s="5" t="s">
        <v>20</v>
      </c>
      <c r="H79" s="5" t="s">
        <v>15</v>
      </c>
      <c r="I79" s="7">
        <v>30</v>
      </c>
      <c r="J79" s="5" t="s">
        <v>15</v>
      </c>
      <c r="K79" s="7">
        <v>20</v>
      </c>
      <c r="L79" s="7">
        <f t="shared" si="1"/>
        <v>65</v>
      </c>
      <c r="M79" s="7">
        <v>7</v>
      </c>
      <c r="N79" s="8">
        <v>58</v>
      </c>
    </row>
    <row r="80" spans="1:14" x14ac:dyDescent="0.25">
      <c r="A80" s="4">
        <v>3467</v>
      </c>
      <c r="B80" s="5" t="s">
        <v>94</v>
      </c>
      <c r="C80" s="5" t="s">
        <v>14</v>
      </c>
      <c r="D80" s="6">
        <v>45584</v>
      </c>
      <c r="E80" s="5" t="s">
        <v>18</v>
      </c>
      <c r="F80" s="7">
        <v>15</v>
      </c>
      <c r="G80" s="5" t="s">
        <v>16</v>
      </c>
      <c r="H80" s="5" t="s">
        <v>15</v>
      </c>
      <c r="I80" s="7">
        <v>30</v>
      </c>
      <c r="J80" s="5" t="s">
        <v>15</v>
      </c>
      <c r="K80" s="7">
        <v>20</v>
      </c>
      <c r="L80" s="7">
        <f t="shared" si="1"/>
        <v>65</v>
      </c>
      <c r="M80" s="7">
        <v>15</v>
      </c>
      <c r="N80" s="8">
        <v>50</v>
      </c>
    </row>
    <row r="81" spans="1:14" x14ac:dyDescent="0.25">
      <c r="A81" s="4">
        <v>3470</v>
      </c>
      <c r="B81" s="5" t="s">
        <v>95</v>
      </c>
      <c r="C81" s="5" t="s">
        <v>14</v>
      </c>
      <c r="D81" s="6">
        <v>45587</v>
      </c>
      <c r="E81" s="5" t="s">
        <v>15</v>
      </c>
      <c r="F81" s="7">
        <v>15</v>
      </c>
      <c r="G81" s="5" t="s">
        <v>23</v>
      </c>
      <c r="H81" s="5" t="s">
        <v>15</v>
      </c>
      <c r="I81" s="7">
        <v>30</v>
      </c>
      <c r="J81" s="5" t="s">
        <v>15</v>
      </c>
      <c r="K81" s="7">
        <v>20</v>
      </c>
      <c r="L81" s="7">
        <f t="shared" si="1"/>
        <v>65</v>
      </c>
      <c r="M81" s="7">
        <v>5</v>
      </c>
      <c r="N81" s="8">
        <v>60</v>
      </c>
    </row>
    <row r="82" spans="1:14" x14ac:dyDescent="0.25">
      <c r="A82" s="4">
        <v>3473</v>
      </c>
      <c r="B82" s="5" t="s">
        <v>96</v>
      </c>
      <c r="C82" s="5" t="s">
        <v>14</v>
      </c>
      <c r="D82" s="6">
        <v>45590</v>
      </c>
      <c r="E82" s="5" t="s">
        <v>18</v>
      </c>
      <c r="F82" s="7">
        <v>15</v>
      </c>
      <c r="G82" s="5" t="s">
        <v>16</v>
      </c>
      <c r="H82" s="5" t="s">
        <v>15</v>
      </c>
      <c r="I82" s="7">
        <v>30</v>
      </c>
      <c r="J82" s="5" t="s">
        <v>15</v>
      </c>
      <c r="K82" s="7">
        <v>20</v>
      </c>
      <c r="L82" s="7">
        <f t="shared" si="1"/>
        <v>65</v>
      </c>
      <c r="M82" s="7">
        <v>3</v>
      </c>
      <c r="N82" s="8">
        <v>62</v>
      </c>
    </row>
    <row r="83" spans="1:14" x14ac:dyDescent="0.25">
      <c r="A83" s="4">
        <v>3476</v>
      </c>
      <c r="B83" s="5" t="s">
        <v>97</v>
      </c>
      <c r="C83" s="5" t="s">
        <v>14</v>
      </c>
      <c r="D83" s="6">
        <v>45593</v>
      </c>
      <c r="E83" s="5" t="s">
        <v>15</v>
      </c>
      <c r="F83" s="7">
        <v>15</v>
      </c>
      <c r="G83" s="5" t="s">
        <v>20</v>
      </c>
      <c r="H83" s="5" t="s">
        <v>15</v>
      </c>
      <c r="I83" s="7">
        <v>30</v>
      </c>
      <c r="J83" s="5" t="s">
        <v>15</v>
      </c>
      <c r="K83" s="7">
        <v>20</v>
      </c>
      <c r="L83" s="7">
        <f t="shared" si="1"/>
        <v>65</v>
      </c>
      <c r="M83" s="7">
        <v>7</v>
      </c>
      <c r="N83" s="8">
        <v>58</v>
      </c>
    </row>
    <row r="84" spans="1:14" x14ac:dyDescent="0.25">
      <c r="A84" s="4">
        <v>3479</v>
      </c>
      <c r="B84" s="5" t="s">
        <v>98</v>
      </c>
      <c r="C84" s="5" t="s">
        <v>14</v>
      </c>
      <c r="D84" s="6">
        <v>45596</v>
      </c>
      <c r="E84" s="5" t="s">
        <v>18</v>
      </c>
      <c r="F84" s="7">
        <v>15</v>
      </c>
      <c r="G84" s="5" t="s">
        <v>16</v>
      </c>
      <c r="H84" s="5" t="s">
        <v>15</v>
      </c>
      <c r="I84" s="7">
        <v>30</v>
      </c>
      <c r="J84" s="5" t="s">
        <v>15</v>
      </c>
      <c r="K84" s="7">
        <v>20</v>
      </c>
      <c r="L84" s="7">
        <f t="shared" si="1"/>
        <v>65</v>
      </c>
      <c r="M84" s="7">
        <v>20</v>
      </c>
      <c r="N84" s="8">
        <v>45</v>
      </c>
    </row>
    <row r="85" spans="1:14" x14ac:dyDescent="0.25">
      <c r="A85" s="4">
        <v>3482</v>
      </c>
      <c r="B85" s="5" t="s">
        <v>99</v>
      </c>
      <c r="C85" s="5" t="s">
        <v>14</v>
      </c>
      <c r="D85" s="6">
        <v>45599</v>
      </c>
      <c r="E85" s="5" t="s">
        <v>15</v>
      </c>
      <c r="F85" s="7">
        <v>15</v>
      </c>
      <c r="G85" s="5" t="s">
        <v>23</v>
      </c>
      <c r="H85" s="5" t="s">
        <v>15</v>
      </c>
      <c r="I85" s="7">
        <v>30</v>
      </c>
      <c r="J85" s="5" t="s">
        <v>15</v>
      </c>
      <c r="K85" s="7">
        <v>20</v>
      </c>
      <c r="L85" s="7">
        <f t="shared" si="1"/>
        <v>65</v>
      </c>
      <c r="M85" s="7">
        <v>3</v>
      </c>
      <c r="N85" s="8">
        <v>62</v>
      </c>
    </row>
    <row r="86" spans="1:14" x14ac:dyDescent="0.25">
      <c r="A86" s="4">
        <v>3485</v>
      </c>
      <c r="B86" s="5" t="s">
        <v>100</v>
      </c>
      <c r="C86" s="5" t="s">
        <v>14</v>
      </c>
      <c r="D86" s="6">
        <v>45602</v>
      </c>
      <c r="E86" s="5" t="s">
        <v>18</v>
      </c>
      <c r="F86" s="7">
        <v>15</v>
      </c>
      <c r="G86" s="5" t="s">
        <v>16</v>
      </c>
      <c r="H86" s="5" t="s">
        <v>15</v>
      </c>
      <c r="I86" s="7">
        <v>30</v>
      </c>
      <c r="J86" s="5" t="s">
        <v>15</v>
      </c>
      <c r="K86" s="7">
        <v>20</v>
      </c>
      <c r="L86" s="7">
        <f t="shared" si="1"/>
        <v>65</v>
      </c>
      <c r="M86" s="7">
        <v>15</v>
      </c>
      <c r="N86" s="8">
        <v>50</v>
      </c>
    </row>
    <row r="87" spans="1:14" x14ac:dyDescent="0.25">
      <c r="A87" s="4">
        <v>3487</v>
      </c>
      <c r="B87" s="5" t="s">
        <v>101</v>
      </c>
      <c r="C87" s="5" t="s">
        <v>14</v>
      </c>
      <c r="D87" s="6">
        <v>45604</v>
      </c>
      <c r="E87" s="5" t="s">
        <v>18</v>
      </c>
      <c r="F87" s="7">
        <v>15</v>
      </c>
      <c r="G87" s="5" t="s">
        <v>20</v>
      </c>
      <c r="H87" s="5" t="s">
        <v>15</v>
      </c>
      <c r="I87" s="7">
        <v>30</v>
      </c>
      <c r="J87" s="5" t="s">
        <v>15</v>
      </c>
      <c r="K87" s="7">
        <v>20</v>
      </c>
      <c r="L87" s="7">
        <f t="shared" si="1"/>
        <v>65</v>
      </c>
      <c r="M87" s="7">
        <v>7</v>
      </c>
      <c r="N87" s="8">
        <v>58</v>
      </c>
    </row>
    <row r="88" spans="1:14" x14ac:dyDescent="0.25">
      <c r="A88" s="4">
        <v>3490</v>
      </c>
      <c r="B88" s="5" t="s">
        <v>102</v>
      </c>
      <c r="C88" s="5" t="s">
        <v>14</v>
      </c>
      <c r="D88" s="6">
        <v>45607</v>
      </c>
      <c r="E88" s="5" t="s">
        <v>15</v>
      </c>
      <c r="F88" s="7">
        <v>15</v>
      </c>
      <c r="G88" s="5" t="s">
        <v>16</v>
      </c>
      <c r="H88" s="5" t="s">
        <v>15</v>
      </c>
      <c r="I88" s="7">
        <v>30</v>
      </c>
      <c r="J88" s="5" t="s">
        <v>15</v>
      </c>
      <c r="K88" s="7">
        <v>20</v>
      </c>
      <c r="L88" s="7">
        <f t="shared" si="1"/>
        <v>65</v>
      </c>
      <c r="M88" s="7">
        <v>15</v>
      </c>
      <c r="N88" s="8">
        <v>50</v>
      </c>
    </row>
    <row r="89" spans="1:14" x14ac:dyDescent="0.25">
      <c r="A89" s="4">
        <v>3493</v>
      </c>
      <c r="B89" s="5" t="s">
        <v>103</v>
      </c>
      <c r="C89" s="5" t="s">
        <v>14</v>
      </c>
      <c r="D89" s="6">
        <v>45610</v>
      </c>
      <c r="E89" s="5" t="s">
        <v>18</v>
      </c>
      <c r="F89" s="7">
        <v>15</v>
      </c>
      <c r="G89" s="5" t="s">
        <v>20</v>
      </c>
      <c r="H89" s="5" t="s">
        <v>15</v>
      </c>
      <c r="I89" s="7">
        <v>30</v>
      </c>
      <c r="J89" s="5" t="s">
        <v>15</v>
      </c>
      <c r="K89" s="7">
        <v>20</v>
      </c>
      <c r="L89" s="7">
        <f t="shared" si="1"/>
        <v>65</v>
      </c>
      <c r="M89" s="7">
        <v>20</v>
      </c>
      <c r="N89" s="8">
        <v>45</v>
      </c>
    </row>
    <row r="90" spans="1:14" x14ac:dyDescent="0.25">
      <c r="A90" s="4">
        <v>3496</v>
      </c>
      <c r="B90" s="5" t="s">
        <v>104</v>
      </c>
      <c r="C90" s="5" t="s">
        <v>14</v>
      </c>
      <c r="D90" s="6">
        <v>45613</v>
      </c>
      <c r="E90" s="5" t="s">
        <v>15</v>
      </c>
      <c r="F90" s="7">
        <v>15</v>
      </c>
      <c r="G90" s="5" t="s">
        <v>23</v>
      </c>
      <c r="H90" s="5" t="s">
        <v>15</v>
      </c>
      <c r="I90" s="7">
        <v>30</v>
      </c>
      <c r="J90" s="5" t="s">
        <v>15</v>
      </c>
      <c r="K90" s="7">
        <v>20</v>
      </c>
      <c r="L90" s="7">
        <f t="shared" si="1"/>
        <v>65</v>
      </c>
      <c r="M90" s="7">
        <v>5</v>
      </c>
      <c r="N90" s="8">
        <v>60</v>
      </c>
    </row>
    <row r="91" spans="1:14" x14ac:dyDescent="0.25">
      <c r="A91" s="4">
        <v>3499</v>
      </c>
      <c r="B91" s="5" t="s">
        <v>105</v>
      </c>
      <c r="C91" s="5" t="s">
        <v>14</v>
      </c>
      <c r="D91" s="6">
        <v>45616</v>
      </c>
      <c r="E91" s="5" t="s">
        <v>18</v>
      </c>
      <c r="F91" s="7">
        <v>15</v>
      </c>
      <c r="G91" s="5" t="s">
        <v>16</v>
      </c>
      <c r="H91" s="5" t="s">
        <v>15</v>
      </c>
      <c r="I91" s="7">
        <v>30</v>
      </c>
      <c r="J91" s="5" t="s">
        <v>15</v>
      </c>
      <c r="K91" s="7">
        <v>20</v>
      </c>
      <c r="L91" s="7">
        <f>SUM(F91,I91,K91)</f>
        <v>65</v>
      </c>
      <c r="M91" s="7">
        <v>3</v>
      </c>
      <c r="N91" s="8">
        <v>62</v>
      </c>
    </row>
    <row r="92" spans="1:14" x14ac:dyDescent="0.25">
      <c r="A92" s="4">
        <v>3502</v>
      </c>
      <c r="B92" s="5" t="s">
        <v>106</v>
      </c>
      <c r="C92" s="5" t="s">
        <v>14</v>
      </c>
      <c r="D92" s="6">
        <v>45619</v>
      </c>
      <c r="E92" s="5" t="s">
        <v>15</v>
      </c>
      <c r="F92" s="7">
        <v>15</v>
      </c>
      <c r="G92" s="5" t="s">
        <v>20</v>
      </c>
      <c r="H92" s="5" t="s">
        <v>15</v>
      </c>
      <c r="I92" s="7">
        <v>30</v>
      </c>
      <c r="J92" s="5" t="s">
        <v>15</v>
      </c>
      <c r="K92" s="7">
        <v>20</v>
      </c>
      <c r="L92" s="7">
        <f t="shared" si="1"/>
        <v>65</v>
      </c>
      <c r="M92" s="7">
        <v>7</v>
      </c>
      <c r="N92" s="8">
        <v>58</v>
      </c>
    </row>
    <row r="93" spans="1:14" x14ac:dyDescent="0.25">
      <c r="A93" s="4">
        <v>3505</v>
      </c>
      <c r="B93" s="5" t="s">
        <v>107</v>
      </c>
      <c r="C93" s="5" t="s">
        <v>14</v>
      </c>
      <c r="D93" s="6">
        <v>45622</v>
      </c>
      <c r="E93" s="5" t="s">
        <v>18</v>
      </c>
      <c r="F93" s="7">
        <v>15</v>
      </c>
      <c r="G93" s="5" t="s">
        <v>16</v>
      </c>
      <c r="H93" s="5" t="s">
        <v>15</v>
      </c>
      <c r="I93" s="7">
        <v>30</v>
      </c>
      <c r="J93" s="5" t="s">
        <v>15</v>
      </c>
      <c r="K93" s="7">
        <v>20</v>
      </c>
      <c r="L93" s="7">
        <f t="shared" si="1"/>
        <v>65</v>
      </c>
      <c r="M93" s="7">
        <v>20</v>
      </c>
      <c r="N93" s="8">
        <v>45</v>
      </c>
    </row>
    <row r="94" spans="1:14" x14ac:dyDescent="0.25">
      <c r="A94" s="4">
        <v>3508</v>
      </c>
      <c r="B94" s="5" t="s">
        <v>108</v>
      </c>
      <c r="C94" s="5" t="s">
        <v>14</v>
      </c>
      <c r="D94" s="6">
        <v>45625</v>
      </c>
      <c r="E94" s="5" t="s">
        <v>15</v>
      </c>
      <c r="F94" s="7">
        <v>15</v>
      </c>
      <c r="G94" s="5" t="s">
        <v>23</v>
      </c>
      <c r="H94" s="5" t="s">
        <v>15</v>
      </c>
      <c r="I94" s="7">
        <v>30</v>
      </c>
      <c r="J94" s="5" t="s">
        <v>15</v>
      </c>
      <c r="K94" s="7">
        <v>20</v>
      </c>
      <c r="L94" s="7">
        <f t="shared" si="1"/>
        <v>65</v>
      </c>
      <c r="M94" s="7">
        <v>3</v>
      </c>
      <c r="N94" s="8">
        <v>62</v>
      </c>
    </row>
    <row r="95" spans="1:14" x14ac:dyDescent="0.25">
      <c r="A95" s="4">
        <v>3511</v>
      </c>
      <c r="B95" s="5" t="s">
        <v>109</v>
      </c>
      <c r="C95" s="5" t="s">
        <v>14</v>
      </c>
      <c r="D95" s="6">
        <v>45628</v>
      </c>
      <c r="E95" s="5" t="s">
        <v>18</v>
      </c>
      <c r="F95" s="7">
        <v>15</v>
      </c>
      <c r="G95" s="5" t="s">
        <v>16</v>
      </c>
      <c r="H95" s="5" t="s">
        <v>15</v>
      </c>
      <c r="I95" s="7">
        <v>30</v>
      </c>
      <c r="J95" s="5" t="s">
        <v>15</v>
      </c>
      <c r="K95" s="7">
        <v>20</v>
      </c>
      <c r="L95" s="7">
        <f t="shared" si="1"/>
        <v>65</v>
      </c>
      <c r="M95" s="7">
        <v>15</v>
      </c>
      <c r="N95" s="8">
        <v>50</v>
      </c>
    </row>
    <row r="96" spans="1:14" x14ac:dyDescent="0.25">
      <c r="A96" s="4">
        <v>3514</v>
      </c>
      <c r="B96" s="5" t="s">
        <v>110</v>
      </c>
      <c r="C96" s="5" t="s">
        <v>14</v>
      </c>
      <c r="D96" s="6">
        <v>45631</v>
      </c>
      <c r="E96" s="5" t="s">
        <v>15</v>
      </c>
      <c r="F96" s="7">
        <v>15</v>
      </c>
      <c r="G96" s="5" t="s">
        <v>20</v>
      </c>
      <c r="H96" s="5" t="s">
        <v>15</v>
      </c>
      <c r="I96" s="7">
        <v>30</v>
      </c>
      <c r="J96" s="5" t="s">
        <v>15</v>
      </c>
      <c r="K96" s="7">
        <v>20</v>
      </c>
      <c r="L96" s="7">
        <f t="shared" si="1"/>
        <v>65</v>
      </c>
      <c r="M96" s="7">
        <v>7</v>
      </c>
      <c r="N96" s="8">
        <v>58</v>
      </c>
    </row>
    <row r="97" spans="1:14" x14ac:dyDescent="0.25">
      <c r="A97" s="4">
        <v>3517</v>
      </c>
      <c r="B97" s="5" t="s">
        <v>111</v>
      </c>
      <c r="C97" s="5" t="s">
        <v>14</v>
      </c>
      <c r="D97" s="6">
        <v>45634</v>
      </c>
      <c r="E97" s="5" t="s">
        <v>18</v>
      </c>
      <c r="F97" s="7">
        <v>15</v>
      </c>
      <c r="G97" s="5" t="s">
        <v>16</v>
      </c>
      <c r="H97" s="5" t="s">
        <v>15</v>
      </c>
      <c r="I97" s="7">
        <v>30</v>
      </c>
      <c r="J97" s="5" t="s">
        <v>15</v>
      </c>
      <c r="K97" s="7">
        <v>20</v>
      </c>
      <c r="L97" s="7">
        <f t="shared" si="1"/>
        <v>65</v>
      </c>
      <c r="M97" s="7">
        <v>20</v>
      </c>
      <c r="N97" s="8">
        <v>45</v>
      </c>
    </row>
    <row r="98" spans="1:14" x14ac:dyDescent="0.25">
      <c r="A98" s="4">
        <v>3520</v>
      </c>
      <c r="B98" s="5" t="s">
        <v>112</v>
      </c>
      <c r="C98" s="5" t="s">
        <v>14</v>
      </c>
      <c r="D98" s="6">
        <v>45637</v>
      </c>
      <c r="E98" s="5" t="s">
        <v>15</v>
      </c>
      <c r="F98" s="7">
        <v>15</v>
      </c>
      <c r="G98" s="5" t="s">
        <v>23</v>
      </c>
      <c r="H98" s="5" t="s">
        <v>15</v>
      </c>
      <c r="I98" s="7">
        <v>30</v>
      </c>
      <c r="J98" s="5" t="s">
        <v>15</v>
      </c>
      <c r="K98" s="7">
        <v>20</v>
      </c>
      <c r="L98" s="7">
        <f t="shared" si="1"/>
        <v>65</v>
      </c>
      <c r="M98" s="7">
        <v>5</v>
      </c>
      <c r="N98" s="8">
        <v>60</v>
      </c>
    </row>
    <row r="99" spans="1:14" x14ac:dyDescent="0.25">
      <c r="A99" s="9">
        <v>3523</v>
      </c>
      <c r="B99" s="10" t="s">
        <v>113</v>
      </c>
      <c r="C99" s="10" t="s">
        <v>14</v>
      </c>
      <c r="D99" s="11">
        <v>45640</v>
      </c>
      <c r="E99" s="10" t="s">
        <v>18</v>
      </c>
      <c r="F99" s="12">
        <v>15</v>
      </c>
      <c r="G99" s="10" t="s">
        <v>16</v>
      </c>
      <c r="H99" s="10" t="s">
        <v>15</v>
      </c>
      <c r="I99" s="12">
        <v>30</v>
      </c>
      <c r="J99" s="10" t="s">
        <v>15</v>
      </c>
      <c r="K99" s="12">
        <v>20</v>
      </c>
      <c r="L99" s="7">
        <f t="shared" si="1"/>
        <v>65</v>
      </c>
      <c r="M99" s="12">
        <v>3</v>
      </c>
      <c r="N99" s="13">
        <v>62</v>
      </c>
    </row>
  </sheetData>
  <autoFilter ref="A1:N99" xr:uid="{13D98F38-EFD8-4D12-82FB-33954147166D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5E52-B653-4198-A45A-1C1835300B96}">
  <dimension ref="B3:E56"/>
  <sheetViews>
    <sheetView topLeftCell="B41" workbookViewId="0">
      <selection activeCell="C5" sqref="C5"/>
    </sheetView>
  </sheetViews>
  <sheetFormatPr defaultRowHeight="15" x14ac:dyDescent="0.25"/>
  <cols>
    <col min="2" max="2" width="44.28515625" customWidth="1"/>
    <col min="3" max="3" width="35.140625" bestFit="1" customWidth="1"/>
    <col min="4" max="5" width="32.140625" bestFit="1" customWidth="1"/>
    <col min="6" max="6" width="19.28515625" bestFit="1" customWidth="1"/>
  </cols>
  <sheetData>
    <row r="3" spans="2:3" x14ac:dyDescent="0.25">
      <c r="B3" t="s">
        <v>117</v>
      </c>
    </row>
    <row r="4" spans="2:3" x14ac:dyDescent="0.25">
      <c r="B4" t="s">
        <v>121</v>
      </c>
    </row>
    <row r="6" spans="2:3" x14ac:dyDescent="0.25">
      <c r="B6" s="21" t="s">
        <v>6</v>
      </c>
      <c r="C6" t="s">
        <v>133</v>
      </c>
    </row>
    <row r="8" spans="2:3" x14ac:dyDescent="0.25">
      <c r="B8" s="21" t="s">
        <v>118</v>
      </c>
      <c r="C8" t="s">
        <v>120</v>
      </c>
    </row>
    <row r="9" spans="2:3" x14ac:dyDescent="0.25">
      <c r="B9" s="22" t="s">
        <v>18</v>
      </c>
      <c r="C9" s="23">
        <v>2679</v>
      </c>
    </row>
    <row r="10" spans="2:3" x14ac:dyDescent="0.25">
      <c r="B10" s="22" t="s">
        <v>15</v>
      </c>
      <c r="C10" s="23">
        <v>2709</v>
      </c>
    </row>
    <row r="11" spans="2:3" x14ac:dyDescent="0.25">
      <c r="B11" s="22" t="s">
        <v>119</v>
      </c>
      <c r="C11" s="23">
        <v>5388</v>
      </c>
    </row>
    <row r="14" spans="2:3" x14ac:dyDescent="0.25">
      <c r="B14" s="22" t="s">
        <v>131</v>
      </c>
    </row>
    <row r="17" spans="2:5" x14ac:dyDescent="0.25">
      <c r="B17" s="21" t="s">
        <v>6</v>
      </c>
      <c r="C17" t="s">
        <v>133</v>
      </c>
    </row>
    <row r="19" spans="2:5" x14ac:dyDescent="0.25">
      <c r="B19" s="21" t="s">
        <v>118</v>
      </c>
      <c r="C19" t="s">
        <v>132</v>
      </c>
    </row>
    <row r="20" spans="2:5" x14ac:dyDescent="0.25">
      <c r="B20" s="22" t="s">
        <v>14</v>
      </c>
      <c r="C20" s="23">
        <v>2940</v>
      </c>
    </row>
    <row r="21" spans="2:5" x14ac:dyDescent="0.25">
      <c r="B21" s="22" t="s">
        <v>119</v>
      </c>
      <c r="C21" s="23">
        <v>2940</v>
      </c>
      <c r="E21" s="26">
        <f>GETPIVOTDATA("EA Play Season Pass
Price",$B$19)</f>
        <v>2940</v>
      </c>
    </row>
    <row r="25" spans="2:5" x14ac:dyDescent="0.25">
      <c r="B25" s="22" t="s">
        <v>134</v>
      </c>
    </row>
    <row r="28" spans="2:5" x14ac:dyDescent="0.25">
      <c r="B28" s="21" t="s">
        <v>6</v>
      </c>
      <c r="C28" t="s">
        <v>133</v>
      </c>
    </row>
    <row r="30" spans="2:5" x14ac:dyDescent="0.25">
      <c r="B30" s="21" t="s">
        <v>118</v>
      </c>
      <c r="C30" t="s">
        <v>135</v>
      </c>
    </row>
    <row r="31" spans="2:5" x14ac:dyDescent="0.25">
      <c r="B31" s="22" t="s">
        <v>14</v>
      </c>
      <c r="C31" s="23">
        <v>1960</v>
      </c>
    </row>
    <row r="32" spans="2:5" x14ac:dyDescent="0.25">
      <c r="B32" s="22" t="s">
        <v>119</v>
      </c>
      <c r="C32" s="23">
        <v>1960</v>
      </c>
      <c r="E32" s="26">
        <f>GETPIVOTDATA("Minecraft Season Pass Price",$B$30)</f>
        <v>1960</v>
      </c>
    </row>
    <row r="35" spans="2:5" x14ac:dyDescent="0.25">
      <c r="B35" t="s">
        <v>137</v>
      </c>
    </row>
    <row r="38" spans="2:5" x14ac:dyDescent="0.25">
      <c r="B38" s="21" t="s">
        <v>6</v>
      </c>
      <c r="C38" t="s">
        <v>133</v>
      </c>
    </row>
    <row r="40" spans="2:5" x14ac:dyDescent="0.25">
      <c r="B40" t="s">
        <v>139</v>
      </c>
      <c r="C40" t="s">
        <v>120</v>
      </c>
    </row>
    <row r="41" spans="2:5" x14ac:dyDescent="0.25">
      <c r="B41" s="23">
        <v>6370</v>
      </c>
      <c r="C41" s="23">
        <v>5388</v>
      </c>
      <c r="E41" s="26">
        <f>GETPIVOTDATA("Soma de Total Value Without Coupon",$B$40)-GETPIVOTDATA("Soma de Total Value",$B$40)</f>
        <v>982</v>
      </c>
    </row>
    <row r="43" spans="2:5" x14ac:dyDescent="0.25">
      <c r="E43" s="29">
        <f>GETPIVOTDATA("Soma de Total Value",$B$40)/GETPIVOTDATA("Soma de Total Value Without Coupon",$B$40)-1</f>
        <v>-0.15416012558869707</v>
      </c>
    </row>
    <row r="45" spans="2:5" x14ac:dyDescent="0.25">
      <c r="B45" t="s">
        <v>140</v>
      </c>
    </row>
    <row r="48" spans="2:5" x14ac:dyDescent="0.25">
      <c r="B48" s="21" t="s">
        <v>6</v>
      </c>
      <c r="C48" t="s">
        <v>133</v>
      </c>
    </row>
    <row r="50" spans="2:5" x14ac:dyDescent="0.25">
      <c r="B50" t="s">
        <v>139</v>
      </c>
      <c r="C50" t="s">
        <v>145</v>
      </c>
      <c r="D50" t="s">
        <v>135</v>
      </c>
      <c r="E50" t="s">
        <v>141</v>
      </c>
    </row>
    <row r="51" spans="2:5" x14ac:dyDescent="0.25">
      <c r="B51" s="23">
        <v>6370</v>
      </c>
      <c r="C51" s="23">
        <v>1470</v>
      </c>
      <c r="D51" s="23">
        <v>1960</v>
      </c>
      <c r="E51" s="23">
        <v>2940</v>
      </c>
    </row>
    <row r="53" spans="2:5" x14ac:dyDescent="0.25">
      <c r="B53" t="s">
        <v>146</v>
      </c>
      <c r="C53" s="35">
        <f>IFERROR(GETPIVOTDATA("Soma de EA Play Season Pass sum",$B$50)/GETPIVOTDATA("Soma de Total Value Without Coupon",$B$50),0)</f>
        <v>0.46153846153846156</v>
      </c>
      <c r="E53" s="30"/>
    </row>
    <row r="54" spans="2:5" x14ac:dyDescent="0.25">
      <c r="B54" t="s">
        <v>147</v>
      </c>
      <c r="C54" s="35">
        <f>IFERROR(GETPIVOTDATA("Soma de Minecraft Season Pass Price",$B$50)/GETPIVOTDATA("Soma de Total Value Without Coupon",$B$50),0)</f>
        <v>0.30769230769230771</v>
      </c>
      <c r="E54" s="30"/>
    </row>
    <row r="55" spans="2:5" x14ac:dyDescent="0.25">
      <c r="B55" t="s">
        <v>148</v>
      </c>
      <c r="C55" s="35">
        <f>IFERROR(GETPIVOTDATA("Soma de Subscription Price",$B$50)/GETPIVOTDATA("Soma de Total Value Without Coupon",$B$50),0)</f>
        <v>0.23076923076923078</v>
      </c>
    </row>
    <row r="56" spans="2:5" x14ac:dyDescent="0.25">
      <c r="C56" s="36">
        <f>SUM(C53:C55)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109A-C85E-401F-8A4C-87E2202FEC0D}">
  <dimension ref="A2:T153"/>
  <sheetViews>
    <sheetView showGridLines="0" showRowColHeaders="0" tabSelected="1" zoomScaleNormal="100" workbookViewId="0">
      <selection activeCell="C5" sqref="C5"/>
    </sheetView>
  </sheetViews>
  <sheetFormatPr defaultRowHeight="15" x14ac:dyDescent="0.25"/>
  <cols>
    <col min="1" max="1" width="27.42578125" style="16" customWidth="1"/>
    <col min="2" max="2" width="0.42578125" customWidth="1"/>
    <col min="17" max="17" width="6.7109375" customWidth="1"/>
    <col min="18" max="18" width="21.140625" bestFit="1" customWidth="1"/>
    <col min="19" max="19" width="10.140625" bestFit="1" customWidth="1"/>
  </cols>
  <sheetData>
    <row r="2" spans="1:20" ht="32.25" customHeight="1" thickBot="1" x14ac:dyDescent="0.5">
      <c r="C2" s="27" t="s">
        <v>130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40"/>
      <c r="S2" s="40"/>
    </row>
    <row r="3" spans="1:20" ht="19.5" customHeight="1" thickTop="1" x14ac:dyDescent="0.25"/>
    <row r="4" spans="1:20" s="19" customFormat="1" x14ac:dyDescent="0.25">
      <c r="A4" s="16"/>
      <c r="C4" s="19" t="s">
        <v>149</v>
      </c>
    </row>
    <row r="5" spans="1:20" s="19" customFormat="1" x14ac:dyDescent="0.25">
      <c r="A5" s="16"/>
    </row>
    <row r="6" spans="1:20" s="19" customFormat="1" ht="15" customHeight="1" x14ac:dyDescent="0.3">
      <c r="A6" s="28" t="s">
        <v>136</v>
      </c>
      <c r="R6" s="38"/>
      <c r="S6" s="38"/>
    </row>
    <row r="7" spans="1:20" s="19" customFormat="1" ht="10.5" customHeight="1" x14ac:dyDescent="0.3">
      <c r="A7" s="16"/>
      <c r="N7" s="25"/>
      <c r="R7" s="38"/>
      <c r="S7" s="38"/>
    </row>
    <row r="8" spans="1:20" s="19" customFormat="1" ht="18" customHeight="1" x14ac:dyDescent="0.25">
      <c r="A8" s="16"/>
      <c r="R8" s="39" t="str">
        <f>"EA PLAY  R$ "&amp;GETPIVOTDATA("Soma de EA Play Season Pass sum",Calculos!$B$50)</f>
        <v>EA PLAY  R$ 2940</v>
      </c>
      <c r="S8" s="33">
        <f>Calculos!C53</f>
        <v>0.46153846153846156</v>
      </c>
    </row>
    <row r="9" spans="1:20" s="19" customFormat="1" ht="18" customHeight="1" x14ac:dyDescent="0.25">
      <c r="A9" s="16"/>
      <c r="R9" s="39" t="str">
        <f>"MINECRAFT  R$ "&amp;GETPIVOTDATA("Soma de Minecraft Season Pass Price",Calculos!$B$50)</f>
        <v>MINECRAFT  R$ 1960</v>
      </c>
      <c r="S9" s="33">
        <f>Calculos!C54</f>
        <v>0.30769230769230771</v>
      </c>
    </row>
    <row r="10" spans="1:20" s="19" customFormat="1" ht="18" customHeight="1" x14ac:dyDescent="0.25">
      <c r="A10" s="16"/>
      <c r="R10" s="39" t="str">
        <f>"ULTIMATE BASE  R$ "&amp;GETPIVOTDATA("Soma de Subscription Price",Calculos!$B$50)</f>
        <v>ULTIMATE BASE  R$ 1470</v>
      </c>
      <c r="S10" s="33">
        <f>Calculos!C55</f>
        <v>0.23076923076923078</v>
      </c>
    </row>
    <row r="11" spans="1:20" s="19" customFormat="1" ht="14.1" customHeight="1" x14ac:dyDescent="0.3">
      <c r="A11" s="16"/>
      <c r="R11" s="37" t="s">
        <v>142</v>
      </c>
      <c r="S11" s="37"/>
      <c r="T11" s="25"/>
    </row>
    <row r="12" spans="1:20" s="19" customFormat="1" ht="18" customHeight="1" x14ac:dyDescent="0.25">
      <c r="A12" s="16"/>
      <c r="R12" s="31" t="s">
        <v>143</v>
      </c>
      <c r="S12" s="34">
        <f>GETPIVOTDATA("Soma de Total Value Without Coupon",Calculos!$B$50)</f>
        <v>6370</v>
      </c>
    </row>
    <row r="13" spans="1:20" s="19" customFormat="1" ht="15" customHeight="1" x14ac:dyDescent="0.25">
      <c r="A13" s="16"/>
      <c r="R13" s="32" t="s">
        <v>144</v>
      </c>
      <c r="S13" s="32"/>
    </row>
    <row r="14" spans="1:20" s="19" customFormat="1" x14ac:dyDescent="0.25">
      <c r="A14" s="16"/>
    </row>
    <row r="15" spans="1:20" s="19" customFormat="1" x14ac:dyDescent="0.25">
      <c r="A15" s="16"/>
    </row>
    <row r="16" spans="1:20" s="19" customFormat="1" ht="15.75" thickBot="1" x14ac:dyDescent="0.3">
      <c r="A16" s="16"/>
    </row>
    <row r="17" spans="1:20" s="19" customFormat="1" ht="15.75" thickBot="1" x14ac:dyDescent="0.3">
      <c r="A17" s="16"/>
      <c r="T17" s="41"/>
    </row>
    <row r="18" spans="1:20" s="19" customFormat="1" x14ac:dyDescent="0.25">
      <c r="A18" s="16"/>
    </row>
    <row r="19" spans="1:20" s="19" customFormat="1" x14ac:dyDescent="0.25">
      <c r="A19" s="16"/>
    </row>
    <row r="20" spans="1:20" s="19" customFormat="1" x14ac:dyDescent="0.25">
      <c r="A20" s="16"/>
    </row>
    <row r="21" spans="1:20" s="19" customFormat="1" x14ac:dyDescent="0.25">
      <c r="A21" s="16"/>
    </row>
    <row r="22" spans="1:20" s="19" customFormat="1" x14ac:dyDescent="0.25">
      <c r="A22" s="16"/>
    </row>
    <row r="23" spans="1:20" s="19" customFormat="1" x14ac:dyDescent="0.25">
      <c r="A23" s="16"/>
    </row>
    <row r="24" spans="1:20" s="19" customFormat="1" x14ac:dyDescent="0.25">
      <c r="A24" s="16"/>
    </row>
    <row r="25" spans="1:20" s="19" customFormat="1" x14ac:dyDescent="0.25">
      <c r="A25" s="16"/>
    </row>
    <row r="26" spans="1:20" s="19" customFormat="1" x14ac:dyDescent="0.25">
      <c r="A26" s="16"/>
    </row>
    <row r="27" spans="1:20" s="19" customFormat="1" x14ac:dyDescent="0.25">
      <c r="A27" s="16"/>
    </row>
    <row r="28" spans="1:20" s="19" customFormat="1" x14ac:dyDescent="0.25">
      <c r="A28" s="16"/>
    </row>
    <row r="29" spans="1:20" s="19" customFormat="1" x14ac:dyDescent="0.25">
      <c r="A29" s="16"/>
    </row>
    <row r="30" spans="1:20" s="19" customFormat="1" x14ac:dyDescent="0.25">
      <c r="A30" s="16"/>
    </row>
    <row r="31" spans="1:20" s="19" customFormat="1" x14ac:dyDescent="0.25">
      <c r="A31" s="16"/>
    </row>
    <row r="32" spans="1:20" s="19" customFormat="1" x14ac:dyDescent="0.25">
      <c r="A32" s="16"/>
    </row>
    <row r="33" spans="1:1" s="19" customFormat="1" x14ac:dyDescent="0.25">
      <c r="A33" s="16"/>
    </row>
    <row r="34" spans="1:1" s="19" customFormat="1" x14ac:dyDescent="0.25">
      <c r="A34" s="16"/>
    </row>
    <row r="35" spans="1:1" s="19" customFormat="1" x14ac:dyDescent="0.25">
      <c r="A35" s="16"/>
    </row>
    <row r="36" spans="1:1" s="19" customFormat="1" x14ac:dyDescent="0.25">
      <c r="A36" s="16"/>
    </row>
    <row r="37" spans="1:1" s="19" customFormat="1" x14ac:dyDescent="0.25">
      <c r="A37" s="16"/>
    </row>
    <row r="38" spans="1:1" s="19" customFormat="1" x14ac:dyDescent="0.25">
      <c r="A38" s="16"/>
    </row>
    <row r="39" spans="1:1" s="19" customFormat="1" x14ac:dyDescent="0.25">
      <c r="A39" s="16"/>
    </row>
    <row r="40" spans="1:1" s="19" customFormat="1" x14ac:dyDescent="0.25">
      <c r="A40" s="16"/>
    </row>
    <row r="41" spans="1:1" s="19" customFormat="1" x14ac:dyDescent="0.25">
      <c r="A41" s="16"/>
    </row>
    <row r="42" spans="1:1" s="19" customFormat="1" x14ac:dyDescent="0.25">
      <c r="A42" s="16"/>
    </row>
    <row r="43" spans="1:1" s="19" customFormat="1" x14ac:dyDescent="0.25">
      <c r="A43" s="16"/>
    </row>
    <row r="44" spans="1:1" s="19" customFormat="1" x14ac:dyDescent="0.25">
      <c r="A44" s="16"/>
    </row>
    <row r="45" spans="1:1" s="19" customFormat="1" x14ac:dyDescent="0.25">
      <c r="A45" s="16"/>
    </row>
    <row r="46" spans="1:1" s="19" customFormat="1" x14ac:dyDescent="0.25">
      <c r="A46" s="16"/>
    </row>
    <row r="47" spans="1:1" s="19" customFormat="1" x14ac:dyDescent="0.25">
      <c r="A47" s="16"/>
    </row>
    <row r="48" spans="1:1" s="19" customFormat="1" x14ac:dyDescent="0.25">
      <c r="A48" s="16"/>
    </row>
    <row r="49" spans="1:1" s="19" customFormat="1" x14ac:dyDescent="0.25">
      <c r="A49" s="16"/>
    </row>
    <row r="50" spans="1:1" s="19" customFormat="1" x14ac:dyDescent="0.25">
      <c r="A50" s="16"/>
    </row>
    <row r="51" spans="1:1" s="19" customFormat="1" x14ac:dyDescent="0.25">
      <c r="A51" s="16"/>
    </row>
    <row r="52" spans="1:1" s="19" customFormat="1" x14ac:dyDescent="0.25">
      <c r="A52" s="16"/>
    </row>
    <row r="53" spans="1:1" s="19" customFormat="1" x14ac:dyDescent="0.25">
      <c r="A53" s="16"/>
    </row>
    <row r="54" spans="1:1" s="19" customFormat="1" x14ac:dyDescent="0.25">
      <c r="A54" s="16"/>
    </row>
    <row r="55" spans="1:1" s="19" customFormat="1" x14ac:dyDescent="0.25">
      <c r="A55" s="16"/>
    </row>
    <row r="56" spans="1:1" s="19" customFormat="1" x14ac:dyDescent="0.25">
      <c r="A56" s="16"/>
    </row>
    <row r="57" spans="1:1" s="19" customFormat="1" x14ac:dyDescent="0.25">
      <c r="A57" s="16"/>
    </row>
    <row r="58" spans="1:1" s="19" customFormat="1" x14ac:dyDescent="0.25">
      <c r="A58" s="16"/>
    </row>
    <row r="59" spans="1:1" s="19" customFormat="1" x14ac:dyDescent="0.25">
      <c r="A59" s="16"/>
    </row>
    <row r="60" spans="1:1" s="19" customFormat="1" x14ac:dyDescent="0.25">
      <c r="A60" s="16"/>
    </row>
    <row r="61" spans="1:1" s="19" customFormat="1" x14ac:dyDescent="0.25">
      <c r="A61" s="16"/>
    </row>
    <row r="62" spans="1:1" s="19" customFormat="1" x14ac:dyDescent="0.25">
      <c r="A62" s="16"/>
    </row>
    <row r="63" spans="1:1" s="19" customFormat="1" x14ac:dyDescent="0.25">
      <c r="A63" s="16"/>
    </row>
    <row r="64" spans="1:1" s="19" customFormat="1" x14ac:dyDescent="0.25">
      <c r="A64" s="16"/>
    </row>
    <row r="65" spans="1:1" s="19" customFormat="1" x14ac:dyDescent="0.25">
      <c r="A65" s="16"/>
    </row>
    <row r="66" spans="1:1" s="19" customFormat="1" x14ac:dyDescent="0.25">
      <c r="A66" s="16"/>
    </row>
    <row r="67" spans="1:1" s="19" customFormat="1" x14ac:dyDescent="0.25">
      <c r="A67" s="16"/>
    </row>
    <row r="68" spans="1:1" s="19" customFormat="1" x14ac:dyDescent="0.25">
      <c r="A68" s="16"/>
    </row>
    <row r="69" spans="1:1" s="19" customFormat="1" x14ac:dyDescent="0.25">
      <c r="A69" s="16"/>
    </row>
    <row r="70" spans="1:1" s="19" customFormat="1" x14ac:dyDescent="0.25">
      <c r="A70" s="16"/>
    </row>
    <row r="71" spans="1:1" s="19" customFormat="1" x14ac:dyDescent="0.25">
      <c r="A71" s="16"/>
    </row>
    <row r="72" spans="1:1" s="19" customFormat="1" x14ac:dyDescent="0.25">
      <c r="A72" s="16"/>
    </row>
    <row r="73" spans="1:1" s="19" customFormat="1" x14ac:dyDescent="0.25">
      <c r="A73" s="16"/>
    </row>
    <row r="74" spans="1:1" s="19" customFormat="1" x14ac:dyDescent="0.25">
      <c r="A74" s="16"/>
    </row>
    <row r="75" spans="1:1" s="19" customFormat="1" x14ac:dyDescent="0.25">
      <c r="A75" s="16"/>
    </row>
    <row r="76" spans="1:1" s="19" customFormat="1" x14ac:dyDescent="0.25">
      <c r="A76" s="16"/>
    </row>
    <row r="77" spans="1:1" s="19" customFormat="1" x14ac:dyDescent="0.25">
      <c r="A77" s="16"/>
    </row>
    <row r="78" spans="1:1" s="19" customFormat="1" x14ac:dyDescent="0.25">
      <c r="A78" s="16"/>
    </row>
    <row r="79" spans="1:1" s="19" customFormat="1" x14ac:dyDescent="0.25">
      <c r="A79" s="16"/>
    </row>
    <row r="80" spans="1:1" s="19" customFormat="1" x14ac:dyDescent="0.25">
      <c r="A80" s="16"/>
    </row>
    <row r="81" spans="1:1" s="19" customFormat="1" x14ac:dyDescent="0.25">
      <c r="A81" s="16"/>
    </row>
    <row r="82" spans="1:1" s="19" customFormat="1" x14ac:dyDescent="0.25">
      <c r="A82" s="16"/>
    </row>
    <row r="83" spans="1:1" s="19" customFormat="1" x14ac:dyDescent="0.25">
      <c r="A83" s="16"/>
    </row>
    <row r="84" spans="1:1" s="19" customFormat="1" x14ac:dyDescent="0.25">
      <c r="A84" s="16"/>
    </row>
    <row r="85" spans="1:1" s="19" customFormat="1" x14ac:dyDescent="0.25">
      <c r="A85" s="16"/>
    </row>
    <row r="86" spans="1:1" s="19" customFormat="1" x14ac:dyDescent="0.25">
      <c r="A86" s="16"/>
    </row>
    <row r="87" spans="1:1" s="19" customFormat="1" x14ac:dyDescent="0.25">
      <c r="A87" s="16"/>
    </row>
    <row r="88" spans="1:1" s="19" customFormat="1" x14ac:dyDescent="0.25">
      <c r="A88" s="16"/>
    </row>
    <row r="89" spans="1:1" s="19" customFormat="1" x14ac:dyDescent="0.25">
      <c r="A89" s="16"/>
    </row>
    <row r="90" spans="1:1" s="19" customFormat="1" x14ac:dyDescent="0.25">
      <c r="A90" s="16"/>
    </row>
    <row r="91" spans="1:1" s="19" customFormat="1" x14ac:dyDescent="0.25">
      <c r="A91" s="16"/>
    </row>
    <row r="92" spans="1:1" s="19" customFormat="1" x14ac:dyDescent="0.25">
      <c r="A92" s="16"/>
    </row>
    <row r="93" spans="1:1" s="19" customFormat="1" x14ac:dyDescent="0.25">
      <c r="A93" s="16"/>
    </row>
    <row r="94" spans="1:1" s="19" customFormat="1" x14ac:dyDescent="0.25">
      <c r="A94" s="16"/>
    </row>
    <row r="95" spans="1:1" s="19" customFormat="1" x14ac:dyDescent="0.25">
      <c r="A95" s="16"/>
    </row>
    <row r="96" spans="1:1" s="19" customFormat="1" x14ac:dyDescent="0.25">
      <c r="A96" s="16"/>
    </row>
    <row r="97" spans="1:1" s="19" customFormat="1" x14ac:dyDescent="0.25">
      <c r="A97" s="16"/>
    </row>
    <row r="98" spans="1:1" s="19" customFormat="1" x14ac:dyDescent="0.25">
      <c r="A98" s="16"/>
    </row>
    <row r="99" spans="1:1" s="19" customFormat="1" x14ac:dyDescent="0.25">
      <c r="A99" s="16"/>
    </row>
    <row r="100" spans="1:1" s="19" customFormat="1" x14ac:dyDescent="0.25">
      <c r="A100" s="16"/>
    </row>
    <row r="101" spans="1:1" s="19" customFormat="1" x14ac:dyDescent="0.25">
      <c r="A101" s="16"/>
    </row>
    <row r="102" spans="1:1" s="19" customFormat="1" x14ac:dyDescent="0.25">
      <c r="A102" s="16"/>
    </row>
    <row r="103" spans="1:1" s="19" customFormat="1" x14ac:dyDescent="0.25">
      <c r="A103" s="16"/>
    </row>
    <row r="104" spans="1:1" s="19" customFormat="1" x14ac:dyDescent="0.25">
      <c r="A104" s="16"/>
    </row>
    <row r="105" spans="1:1" s="19" customFormat="1" x14ac:dyDescent="0.25">
      <c r="A105" s="16"/>
    </row>
    <row r="106" spans="1:1" s="19" customFormat="1" x14ac:dyDescent="0.25">
      <c r="A106" s="16"/>
    </row>
    <row r="107" spans="1:1" s="19" customFormat="1" x14ac:dyDescent="0.25">
      <c r="A107" s="16"/>
    </row>
    <row r="108" spans="1:1" s="19" customFormat="1" x14ac:dyDescent="0.25">
      <c r="A108" s="16"/>
    </row>
    <row r="109" spans="1:1" s="19" customFormat="1" x14ac:dyDescent="0.25">
      <c r="A109" s="16"/>
    </row>
    <row r="110" spans="1:1" s="19" customFormat="1" x14ac:dyDescent="0.25">
      <c r="A110" s="16"/>
    </row>
    <row r="111" spans="1:1" s="19" customFormat="1" x14ac:dyDescent="0.25">
      <c r="A111" s="16"/>
    </row>
    <row r="112" spans="1:1" s="19" customFormat="1" x14ac:dyDescent="0.25">
      <c r="A112" s="16"/>
    </row>
    <row r="113" spans="1:1" s="19" customFormat="1" x14ac:dyDescent="0.25">
      <c r="A113" s="16"/>
    </row>
    <row r="114" spans="1:1" s="19" customFormat="1" x14ac:dyDescent="0.25">
      <c r="A114" s="16"/>
    </row>
    <row r="115" spans="1:1" s="19" customFormat="1" x14ac:dyDescent="0.25">
      <c r="A115" s="16"/>
    </row>
    <row r="116" spans="1:1" s="19" customFormat="1" x14ac:dyDescent="0.25">
      <c r="A116" s="16"/>
    </row>
    <row r="117" spans="1:1" s="19" customFormat="1" x14ac:dyDescent="0.25">
      <c r="A117" s="16"/>
    </row>
    <row r="118" spans="1:1" s="19" customFormat="1" x14ac:dyDescent="0.25">
      <c r="A118" s="16"/>
    </row>
    <row r="119" spans="1:1" s="19" customFormat="1" x14ac:dyDescent="0.25">
      <c r="A119" s="16"/>
    </row>
    <row r="120" spans="1:1" s="19" customFormat="1" x14ac:dyDescent="0.25">
      <c r="A120" s="16"/>
    </row>
    <row r="121" spans="1:1" s="19" customFormat="1" x14ac:dyDescent="0.25">
      <c r="A121" s="16"/>
    </row>
    <row r="122" spans="1:1" s="19" customFormat="1" x14ac:dyDescent="0.25">
      <c r="A122" s="16"/>
    </row>
    <row r="123" spans="1:1" s="19" customFormat="1" x14ac:dyDescent="0.25">
      <c r="A123" s="16"/>
    </row>
    <row r="124" spans="1:1" s="19" customFormat="1" x14ac:dyDescent="0.25">
      <c r="A124" s="16"/>
    </row>
    <row r="125" spans="1:1" s="19" customFormat="1" x14ac:dyDescent="0.25">
      <c r="A125" s="16"/>
    </row>
    <row r="126" spans="1:1" s="19" customFormat="1" x14ac:dyDescent="0.25">
      <c r="A126" s="16"/>
    </row>
    <row r="127" spans="1:1" s="19" customFormat="1" x14ac:dyDescent="0.25">
      <c r="A127" s="16"/>
    </row>
    <row r="128" spans="1:1" s="19" customFormat="1" x14ac:dyDescent="0.25">
      <c r="A128" s="16"/>
    </row>
    <row r="129" spans="1:1" s="19" customFormat="1" x14ac:dyDescent="0.25">
      <c r="A129" s="16"/>
    </row>
    <row r="130" spans="1:1" s="19" customFormat="1" x14ac:dyDescent="0.25">
      <c r="A130" s="16"/>
    </row>
    <row r="131" spans="1:1" s="19" customFormat="1" x14ac:dyDescent="0.25">
      <c r="A131" s="16"/>
    </row>
    <row r="132" spans="1:1" s="19" customFormat="1" x14ac:dyDescent="0.25">
      <c r="A132" s="16"/>
    </row>
    <row r="133" spans="1:1" s="19" customFormat="1" x14ac:dyDescent="0.25">
      <c r="A133" s="16"/>
    </row>
    <row r="134" spans="1:1" s="19" customFormat="1" x14ac:dyDescent="0.25">
      <c r="A134" s="16"/>
    </row>
    <row r="135" spans="1:1" s="19" customFormat="1" x14ac:dyDescent="0.25">
      <c r="A135" s="16"/>
    </row>
    <row r="136" spans="1:1" s="19" customFormat="1" x14ac:dyDescent="0.25">
      <c r="A136" s="16"/>
    </row>
    <row r="137" spans="1:1" s="19" customFormat="1" x14ac:dyDescent="0.25">
      <c r="A137" s="16"/>
    </row>
    <row r="138" spans="1:1" s="19" customFormat="1" x14ac:dyDescent="0.25">
      <c r="A138" s="16"/>
    </row>
    <row r="139" spans="1:1" s="19" customFormat="1" x14ac:dyDescent="0.25">
      <c r="A139" s="16"/>
    </row>
    <row r="140" spans="1:1" s="19" customFormat="1" x14ac:dyDescent="0.25">
      <c r="A140" s="16"/>
    </row>
    <row r="141" spans="1:1" s="19" customFormat="1" x14ac:dyDescent="0.25">
      <c r="A141" s="16"/>
    </row>
    <row r="142" spans="1:1" s="19" customFormat="1" x14ac:dyDescent="0.25">
      <c r="A142" s="16"/>
    </row>
    <row r="143" spans="1:1" s="19" customFormat="1" x14ac:dyDescent="0.25">
      <c r="A143" s="16"/>
    </row>
    <row r="144" spans="1:1" s="19" customFormat="1" x14ac:dyDescent="0.25">
      <c r="A144" s="16"/>
    </row>
    <row r="145" spans="1:1" s="19" customFormat="1" x14ac:dyDescent="0.25">
      <c r="A145" s="16"/>
    </row>
    <row r="146" spans="1:1" s="19" customFormat="1" x14ac:dyDescent="0.25">
      <c r="A146" s="16"/>
    </row>
    <row r="147" spans="1:1" s="19" customFormat="1" x14ac:dyDescent="0.25">
      <c r="A147" s="16"/>
    </row>
    <row r="148" spans="1:1" s="19" customFormat="1" x14ac:dyDescent="0.25">
      <c r="A148" s="16"/>
    </row>
    <row r="149" spans="1:1" s="19" customFormat="1" x14ac:dyDescent="0.25">
      <c r="A149" s="16"/>
    </row>
    <row r="150" spans="1:1" s="19" customFormat="1" x14ac:dyDescent="0.25">
      <c r="A150" s="16"/>
    </row>
    <row r="151" spans="1:1" s="19" customFormat="1" x14ac:dyDescent="0.25">
      <c r="A151" s="16"/>
    </row>
    <row r="152" spans="1:1" s="19" customFormat="1" x14ac:dyDescent="0.25">
      <c r="A152" s="16"/>
    </row>
    <row r="153" spans="1:1" s="19" customFormat="1" x14ac:dyDescent="0.25">
      <c r="A153" s="16"/>
    </row>
  </sheetData>
  <mergeCells count="3">
    <mergeCell ref="R6:S7"/>
    <mergeCell ref="R11:S11"/>
    <mergeCell ref="R13:S1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</vt:lpstr>
      <vt:lpstr>Calculos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Domingos</dc:creator>
  <cp:lastModifiedBy>William Domingos</cp:lastModifiedBy>
  <dcterms:created xsi:type="dcterms:W3CDTF">2026-10-12T15:49:59Z</dcterms:created>
  <dcterms:modified xsi:type="dcterms:W3CDTF">2026-10-14T17:48:11Z</dcterms:modified>
</cp:coreProperties>
</file>